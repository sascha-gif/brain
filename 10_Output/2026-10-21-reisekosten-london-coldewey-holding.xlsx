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comments2.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brechnung" sheetId="1" state="visible" r:id="rId3"/>
    <sheet name="Saetze 2026" sheetId="2" state="visible" r:id="rId4"/>
  </sheets>
  <definedNames>
    <definedName function="false" hidden="false" localSheetId="0" name="_xlnm.Print_Area" vbProcedure="false">Abrechnung!$A$1:$I$77</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C25" authorId="0">
      <text>
        <r>
          <rPr>
            <sz val="10"/>
            <rFont val="Arial"/>
            <family val="2"/>
          </rPr>
          <t xml:space="preserve">TfL bucht „Unpaid Fare“ nach, wenn beim Ein- oder Ausstieg nicht korrekt getappt wurde. Ist das eine reine Fahrpreis-Nachzahlung, ist sie absetzbar. Ist es ein Bußgeld (Penalty Fare), ist sie es nicht — dann Zeile löschen.
Bitte den TfL-Kontoauszug prüfen.</t>
        </r>
      </text>
    </comment>
    <comment ref="C26" authorId="0">
      <text>
        <r>
          <rPr>
            <sz val="10"/>
            <rFont val="Arial"/>
            <family val="2"/>
          </rPr>
          <t xml:space="preserve">OFFEN: „About Town Business Services“ ließ sich nicht eindeutig zuordnen. Wenn das keine Reisekosten waren, Zeile löschen.</t>
        </r>
      </text>
    </comment>
    <comment ref="C27" authorId="0">
      <text>
        <r>
          <rPr>
            <sz val="10"/>
            <rFont val="Arial"/>
            <family val="2"/>
          </rPr>
          <t xml:space="preserve">OFFEN: „About Town Business Services“ ließ sich nicht eindeutig zuordnen. Wenn das keine Reisekosten waren, Zeile löschen.</t>
        </r>
      </text>
    </comment>
    <comment ref="C28" authorId="0">
      <text>
        <r>
          <rPr>
            <sz val="10"/>
            <rFont val="Arial"/>
            <family val="2"/>
          </rPr>
          <t xml:space="preserve">OFFEN: „About Town Business Services“ ließ sich nicht eindeutig zuordnen. Wenn das keine Reisekosten waren, Zeile löschen.</t>
        </r>
      </text>
    </comment>
    <comment ref="C44" authorId="0">
      <text>
        <r>
          <rPr>
            <sz val="10"/>
            <rFont val="Arial"/>
            <family val="2"/>
          </rPr>
          <t xml:space="preserve">OFFEN: Im hochgeladenen Kontoauszug ist für den 06.–08.10. keine Hotelzahlung zu finden. Entweder über ein anderes Konto oder vorab bezahlt.
Hotelrechnung beilegen und Betrag hier eintragen. Enthält sie Frühstück, den Anteil herausrechnen und oben in Block C das „F“ setzen.</t>
        </r>
      </text>
    </comment>
    <comment ref="D15" authorId="0">
      <text>
        <r>
          <rPr>
            <sz val="10"/>
            <rFont val="Arial"/>
            <family val="2"/>
          </rPr>
          <t xml:space="preserve">OFFEN: gefahrene Kilometer hin und zurück eintragen.
Die Entfernung konnte nicht verlässlich ermittelt werden, deshalb hier kein geschätzter Wert. Tacho oder Routenplaner, Wert dokumentieren.</t>
        </r>
      </text>
    </comment>
    <comment ref="F33" authorId="0">
      <text>
        <r>
          <rPr>
            <sz val="10"/>
            <rFont val="Arial"/>
            <family val="2"/>
          </rPr>
          <t xml:space="preserve">Gestellte Mahlzeit mit „x“ markieren:
F = Frühstück, M = Mittagessen, A = Abendessen.
Dazu zählt auch das im Hotelpreis enthaltene Frühstück.</t>
        </r>
      </text>
    </comment>
  </commentList>
</comments>
</file>

<file path=xl/comments2.xml><?xml version="1.0" encoding="utf-8"?>
<comments xmlns="http://schemas.openxmlformats.org/spreadsheetml/2006/main" xmlns:xdr="http://schemas.openxmlformats.org/drawingml/2006/spreadsheetDrawing">
  <authors>
    <author>Unknown Author</author>
  </authors>
  <commentList>
    <comment ref="A9" authorId="0">
      <text>
        <r>
          <rPr>
            <sz val="10"/>
            <rFont val="Arial"/>
            <family val="2"/>
          </rPr>
          <t xml:space="preserve">Die Kürzung bemisst sich immer am vollen Tagessatz, auch an An- und Abreisetagen. Sie kann die Pauschale höchstens auf 0 € drücken.
Für London: Frühstück 13,20 €, Mittag- und Abendessen je 26,40 €.</t>
        </r>
      </text>
    </comment>
    <comment ref="A15" authorId="0">
      <text>
        <r>
          <rPr>
            <sz val="10"/>
            <rFont val="Arial"/>
            <family val="2"/>
          </rPr>
          <t xml:space="preserve">Nicht mit der Entfernungspauschale verwechseln: die ist ab 01.01.2026 einheitlich 0,38 €/km, gilt aber nur für den Weg Wohnung–erste Tätigkeitsstätte, nicht für Dienstreisen. Für Dienstreisen bleibt es bei 0,30 €/km.</t>
        </r>
      </text>
    </comment>
  </commentList>
</comments>
</file>

<file path=xl/sharedStrings.xml><?xml version="1.0" encoding="utf-8"?>
<sst xmlns="http://schemas.openxmlformats.org/spreadsheetml/2006/main" count="157" uniqueCount="120">
  <si>
    <t xml:space="preserve">Reisekostenabrechnung</t>
  </si>
  <si>
    <t xml:space="preserve">London · 07.–08.10.2026 · Sätze siehe Blatt „Saetze 2026“</t>
  </si>
  <si>
    <t xml:space="preserve">Firma</t>
  </si>
  <si>
    <t xml:space="preserve">Coldewey Holding</t>
  </si>
  <si>
    <t xml:space="preserve">Gelb = ausfüllen</t>
  </si>
  <si>
    <t xml:space="preserve">Reisende/r</t>
  </si>
  <si>
    <t xml:space="preserve">Sascha Coldewey</t>
  </si>
  <si>
    <t xml:space="preserve">Weiß = rechnet sich</t>
  </si>
  <si>
    <t xml:space="preserve">Funktion</t>
  </si>
  <si>
    <t xml:space="preserve">Managing Director</t>
  </si>
  <si>
    <t xml:space="preserve">Beträge aus dem</t>
  </si>
  <si>
    <t xml:space="preserve">Reisezweck</t>
  </si>
  <si>
    <t xml:space="preserve">Kontoauszug belegt.</t>
  </si>
  <si>
    <t xml:space="preserve">Reiseziel</t>
  </si>
  <si>
    <t xml:space="preserve">London, Vereinigtes Königreich</t>
  </si>
  <si>
    <t xml:space="preserve">Reise von (Datum, Uhrzeit)</t>
  </si>
  <si>
    <t xml:space="preserve">07.10.2026, __:__</t>
  </si>
  <si>
    <t xml:space="preserve">Reise bis (Datum, Uhrzeit)</t>
  </si>
  <si>
    <t xml:space="preserve">08.10.2026, __:__</t>
  </si>
  <si>
    <t xml:space="preserve">Abrechnung erstellt am</t>
  </si>
  <si>
    <t xml:space="preserve">21.10.2026</t>
  </si>
  <si>
    <t xml:space="preserve">A · Fahrt mit eigenem Fahrzeug</t>
  </si>
  <si>
    <t xml:space="preserve">Datum</t>
  </si>
  <si>
    <t xml:space="preserve">Strecke</t>
  </si>
  <si>
    <t xml:space="preserve">Fahrzeug</t>
  </si>
  <si>
    <t xml:space="preserve">Kilometer</t>
  </si>
  <si>
    <t xml:space="preserve">€/km</t>
  </si>
  <si>
    <t xml:space="preserve">Betrag</t>
  </si>
  <si>
    <t xml:space="preserve">07.10.2026</t>
  </si>
  <si>
    <t xml:space="preserve">Im Zuckergarten 28 → FRA Terminal 3 und zurück</t>
  </si>
  <si>
    <t xml:space="preserve">Pkw, je Kilometer</t>
  </si>
  <si>
    <t xml:space="preserve">Summe Fahrt eigenes Fahrzeug</t>
  </si>
  <si>
    <t xml:space="preserve">B · Fahrtkosten und Transport mit Beleg</t>
  </si>
  <si>
    <t xml:space="preserve">Art</t>
  </si>
  <si>
    <t xml:space="preserve">Beschreibung</t>
  </si>
  <si>
    <t xml:space="preserve">Flughafen-Parken</t>
  </si>
  <si>
    <t xml:space="preserve">Parkhaus FRA Terminal 3, 07.–08.10.</t>
  </si>
  <si>
    <t xml:space="preserve">08.10.2026</t>
  </si>
  <si>
    <t xml:space="preserve">U-Bahn London</t>
  </si>
  <si>
    <t xml:space="preserve">LUL Ticket Machine, 7,00 GBP</t>
  </si>
  <si>
    <t xml:space="preserve">TfL Nachzahlung</t>
  </si>
  <si>
    <t xml:space="preserve">TFL Unpaid Fare, 26,00 GBP — siehe Hinweis</t>
  </si>
  <si>
    <t xml:space="preserve">Nahverkehr London</t>
  </si>
  <si>
    <t xml:space="preserve">About Town Business Services, 3,15 GBP</t>
  </si>
  <si>
    <t xml:space="preserve">About Town Business Services, 2,00 GBP</t>
  </si>
  <si>
    <t xml:space="preserve">Summe Fahrtkosten mit Beleg</t>
  </si>
  <si>
    <t xml:space="preserve">C · Verpflegungsmehraufwand (Pauschale, kein Beleg nötig)</t>
  </si>
  <si>
    <t xml:space="preserve">Ort / Land</t>
  </si>
  <si>
    <t xml:space="preserve">Abwesenheit</t>
  </si>
  <si>
    <t xml:space="preserve">Pauschale</t>
  </si>
  <si>
    <t xml:space="preserve">Kürzung</t>
  </si>
  <si>
    <t xml:space="preserve">F</t>
  </si>
  <si>
    <t xml:space="preserve">M</t>
  </si>
  <si>
    <t xml:space="preserve">A</t>
  </si>
  <si>
    <t xml:space="preserve">London</t>
  </si>
  <si>
    <t xml:space="preserve">An-/Abreisetag</t>
  </si>
  <si>
    <t xml:space="preserve">Summe Verpflegungsmehraufwand</t>
  </si>
  <si>
    <t xml:space="preserve">D · Übernachtung (mit Beleg, ohne Frühstücksanteil)</t>
  </si>
  <si>
    <t xml:space="preserve">Hotel / Ort</t>
  </si>
  <si>
    <t xml:space="preserve">Beleg-Nr.</t>
  </si>
  <si>
    <t xml:space="preserve">Hotel London</t>
  </si>
  <si>
    <t xml:space="preserve">Beleg fehlt</t>
  </si>
  <si>
    <t xml:space="preserve">Summe Übernachtung</t>
  </si>
  <si>
    <t xml:space="preserve">E · Sonstige Reisenebenkosten</t>
  </si>
  <si>
    <t xml:space="preserve">06.10.2026</t>
  </si>
  <si>
    <t xml:space="preserve">Einreisegenehmigung</t>
  </si>
  <si>
    <t xml:space="preserve">UKVI ETA, Pflicht für UK-Einreise</t>
  </si>
  <si>
    <t xml:space="preserve">Summe sonstige Nebenkosten</t>
  </si>
  <si>
    <t xml:space="preserve">Ergebnis</t>
  </si>
  <si>
    <t xml:space="preserve">Summe A bis E</t>
  </si>
  <si>
    <t xml:space="preserve">abzüglich Vorschuss</t>
  </si>
  <si>
    <t xml:space="preserve">abzüglich direkt von der Firma bezahlt</t>
  </si>
  <si>
    <t xml:space="preserve">Zu erstatten</t>
  </si>
  <si>
    <t xml:space="preserve">_______________________________</t>
  </si>
  <si>
    <t xml:space="preserve">Ort, Datum</t>
  </si>
  <si>
    <t xml:space="preserve">Unterschrift</t>
  </si>
  <si>
    <t xml:space="preserve">Offene Punkte und bewusst nicht aufgenommene Positionen</t>
  </si>
  <si>
    <t xml:space="preserve">OFFEN</t>
  </si>
  <si>
    <t xml:space="preserve">Reisedatum</t>
  </si>
  <si>
    <t xml:space="preserve">Du hast 06. auf 07.10. genannt. Die Kartenumsätze sprechen für 07. auf 08.10.: Abflug Frankfurt „Pier J NonSchengen T3“ am 07.10., Rückflug „WH Smith Heathrow T2“ und Parkhaus-Ausfahrt am 08.10. Die Abrechnung steht auf 07.–08.10. — bitte prüfen.</t>
  </si>
  <si>
    <t xml:space="preserve">Entfernung Im Zuckergarten 28 → FRA Terminal 3 und zurück fehlt. Block A, gelb markiert. Bei 0,30 €/km sind das je 10 km rund 3 €.</t>
  </si>
  <si>
    <t xml:space="preserve">Hotel</t>
  </si>
  <si>
    <t xml:space="preserve">Keine Hotelzahlung im Kontoauszug gefunden. Rechnung nachreichen, Block D.</t>
  </si>
  <si>
    <t xml:space="preserve">Flug</t>
  </si>
  <si>
    <t xml:space="preserve">Kein Flugticket im Kontoauszug gefunden. Falls privat bezahlt, in Block B ergänzen.</t>
  </si>
  <si>
    <t xml:space="preserve">TfL 30,68 €</t>
  </si>
  <si>
    <t xml:space="preserve">„Unpaid Fare“: Fahrpreis-Nachzahlung ist absetzbar, ein Bußgeld nicht. Prüfen.</t>
  </si>
  <si>
    <t xml:space="preserve">About Town</t>
  </si>
  <si>
    <t xml:space="preserve">3 Buchungen über zusammen 9,81 € nicht eindeutig zuzuordnen. Prüfen.</t>
  </si>
  <si>
    <t xml:space="preserve">—</t>
  </si>
  <si>
    <t xml:space="preserve">UPS-Zoll 14 €</t>
  </si>
  <si>
    <t xml:space="preserve">Gehört nicht in die Reisekostenabrechnung. Einfuhrabgaben für ein Paket sind eine eigene Betriebsausgabe und werden separat gebucht. Im Kontoauszug nicht enthalten, also wohl bar bezahlt — Beleg aufheben.</t>
  </si>
  <si>
    <t xml:space="preserve">Essen in London</t>
  </si>
  <si>
    <t xml:space="preserve">Pret a Manger, Costa, Nazari Food, WH Smith: zusammen 43,74 €. Wird NICHT zusätzlich erstattet, die Verpflegungspauschale deckt das ab. Die Pauschale von 88 € liegt deutlich darüber.</t>
  </si>
  <si>
    <t xml:space="preserve">Pauschalen 2026</t>
  </si>
  <si>
    <t xml:space="preserve">Diese Werte steuern die Formeln im Blatt „Abrechnung“. Ändern sich die Sätze, nur hier anfassen.</t>
  </si>
  <si>
    <t xml:space="preserve">Schlüssel</t>
  </si>
  <si>
    <t xml:space="preserve">voller Tag (24 h)</t>
  </si>
  <si>
    <t xml:space="preserve">über 8 h</t>
  </si>
  <si>
    <t xml:space="preserve">unter 8 h</t>
  </si>
  <si>
    <t xml:space="preserve">Übernachtung ohne Beleg</t>
  </si>
  <si>
    <t xml:space="preserve">Deutschland (Inland)</t>
  </si>
  <si>
    <t xml:space="preserve">Inland</t>
  </si>
  <si>
    <t xml:space="preserve">Vereinigtes Königreich übrig</t>
  </si>
  <si>
    <t xml:space="preserve">Großbritannien</t>
  </si>
  <si>
    <t xml:space="preserve">Kürzung bei gestellter Mahlzeit — Anteil vom vollen Tagessatz des jeweiligen Ortes</t>
  </si>
  <si>
    <t xml:space="preserve">Frühstück</t>
  </si>
  <si>
    <t xml:space="preserve">Mittagessen</t>
  </si>
  <si>
    <t xml:space="preserve">Abendessen</t>
  </si>
  <si>
    <t xml:space="preserve">Fahrtkosten eigenes Fahrzeug (Dienstreise)</t>
  </si>
  <si>
    <t xml:space="preserve">Motorrad / Moped, je Kilometer</t>
  </si>
  <si>
    <t xml:space="preserve">Fahrrad, je Kilometer</t>
  </si>
  <si>
    <t xml:space="preserve">Quellen und Vorbehalte</t>
  </si>
  <si>
    <t xml:space="preserve">Inland 28 €/14 €: § 9 Abs. 4a EStG, für 2026 unverändert.</t>
  </si>
  <si>
    <t xml:space="preserve">London 66 €/44 €, Übernachtung 163 €: BMF-Schreiben vom 05.12.2025 zu Auslandsreisekosten ab 01.01.2026.</t>
  </si>
  <si>
    <t xml:space="preserve">   Übereinstimmend aus mehreren Sekundärquellen; vor Einreichung gegen die amtliche BMF-Tabelle prüfen.</t>
  </si>
  <si>
    <t xml:space="preserve">Kilometersatz Dienstreise Pkw 0,30 €/km: für 2026 unverändert.</t>
  </si>
  <si>
    <t xml:space="preserve">Entfernungspauschale ab 2026 einheitlich 0,38 €/km — betrifft diese Abrechnung NICHT.</t>
  </si>
  <si>
    <t xml:space="preserve">Übernachtungspauschale ohne Beleg: nur für die steuerfreie Arbeitgeber-Erstattung,</t>
  </si>
  <si>
    <t xml:space="preserve">   nicht für den Betriebsausgabenabzug. Vor Nutzung mit dem Steuerberater klären.</t>
  </si>
</sst>
</file>

<file path=xl/styles.xml><?xml version="1.0" encoding="utf-8"?>
<styleSheet xmlns="http://schemas.openxmlformats.org/spreadsheetml/2006/main">
  <numFmts count="6">
    <numFmt numFmtId="164" formatCode="General"/>
    <numFmt numFmtId="165" formatCode="&quot;TT.&quot;mm&quot;.JJJJ&quot;"/>
    <numFmt numFmtId="166" formatCode="#,##0"/>
    <numFmt numFmtId="167" formatCode="0.00&quot; €&quot;"/>
    <numFmt numFmtId="168" formatCode="#,##0.00&quot; €&quot;;\-#,##0.00&quot; €&quot;;\-"/>
    <numFmt numFmtId="169" formatCode="0\ %"/>
  </numFmts>
  <fonts count="15">
    <font>
      <sz val="11"/>
      <color theme="1"/>
      <name val="Calibri"/>
      <family val="2"/>
      <charset val="1"/>
    </font>
    <font>
      <sz val="10"/>
      <name val="Arial"/>
      <family val="0"/>
    </font>
    <font>
      <sz val="10"/>
      <name val="Arial"/>
      <family val="0"/>
    </font>
    <font>
      <sz val="10"/>
      <name val="Arial"/>
      <family val="0"/>
    </font>
    <font>
      <b val="true"/>
      <sz val="16"/>
      <name val="Arial"/>
      <family val="0"/>
      <charset val="1"/>
    </font>
    <font>
      <sz val="8"/>
      <color rgb="FF595959"/>
      <name val="Arial"/>
      <family val="0"/>
      <charset val="1"/>
    </font>
    <font>
      <b val="true"/>
      <sz val="10"/>
      <name val="Arial"/>
      <family val="0"/>
      <charset val="1"/>
    </font>
    <font>
      <sz val="10"/>
      <color rgb="FF0000FF"/>
      <name val="Arial"/>
      <family val="0"/>
      <charset val="1"/>
    </font>
    <font>
      <b val="true"/>
      <sz val="11"/>
      <color rgb="FFFFFFFF"/>
      <name val="Arial"/>
      <family val="0"/>
      <charset val="1"/>
    </font>
    <font>
      <b val="true"/>
      <sz val="9"/>
      <name val="Arial"/>
      <family val="0"/>
      <charset val="1"/>
    </font>
    <font>
      <sz val="10"/>
      <name val="Arial"/>
      <family val="0"/>
      <charset val="1"/>
    </font>
    <font>
      <sz val="10"/>
      <color rgb="FFC00000"/>
      <name val="Arial"/>
      <family val="0"/>
      <charset val="1"/>
    </font>
    <font>
      <b val="true"/>
      <sz val="12"/>
      <name val="Arial"/>
      <family val="0"/>
      <charset val="1"/>
    </font>
    <font>
      <b val="true"/>
      <sz val="9"/>
      <color rgb="FFC00000"/>
      <name val="Arial"/>
      <family val="0"/>
      <charset val="1"/>
    </font>
    <font>
      <sz val="10"/>
      <name val="Arial"/>
      <family val="2"/>
    </font>
  </fonts>
  <fills count="9">
    <fill>
      <patternFill patternType="none"/>
    </fill>
    <fill>
      <patternFill patternType="gray125"/>
    </fill>
    <fill>
      <patternFill patternType="solid">
        <fgColor rgb="FFFFFF99"/>
        <bgColor rgb="FFF2F2F2"/>
      </patternFill>
    </fill>
    <fill>
      <patternFill patternType="solid">
        <fgColor rgb="FF2F4F4F"/>
        <bgColor rgb="FF595959"/>
      </patternFill>
    </fill>
    <fill>
      <patternFill patternType="solid">
        <fgColor rgb="FFE8E8E8"/>
        <bgColor rgb="FFF2F2F2"/>
      </patternFill>
    </fill>
    <fill>
      <patternFill patternType="solid">
        <fgColor rgb="FFFFC7CE"/>
        <bgColor rgb="FFFCE4E4"/>
      </patternFill>
    </fill>
    <fill>
      <patternFill patternType="solid">
        <fgColor rgb="FFF2F2F2"/>
        <bgColor rgb="FFE8E8E8"/>
      </patternFill>
    </fill>
    <fill>
      <patternFill patternType="solid">
        <fgColor rgb="FFD9E1D9"/>
        <bgColor rgb="FFE8E8E8"/>
      </patternFill>
    </fill>
    <fill>
      <patternFill patternType="solid">
        <fgColor rgb="FFFCE4E4"/>
        <bgColor rgb="FFE8E8E8"/>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8" fillId="3" borderId="0" xfId="0" applyFont="true" applyBorder="true" applyAlignment="true" applyProtection="false">
      <alignment horizontal="left" vertical="center" textRotation="0" wrapText="false" indent="1" shrinkToFit="false"/>
      <protection locked="true" hidden="false"/>
    </xf>
    <xf numFmtId="164" fontId="9" fillId="4" borderId="1" xfId="0" applyFont="true" applyBorder="true" applyAlignment="true" applyProtection="false">
      <alignment horizontal="center" vertical="center" textRotation="0" wrapText="true" indent="0" shrinkToFit="false"/>
      <protection locked="true" hidden="false"/>
    </xf>
    <xf numFmtId="165" fontId="7" fillId="2" borderId="1" xfId="0" applyFont="true" applyBorder="true" applyAlignment="false" applyProtection="false">
      <alignment horizontal="general" vertical="bottom" textRotation="0" wrapText="false" indent="0" shrinkToFit="false"/>
      <protection locked="true" hidden="false"/>
    </xf>
    <xf numFmtId="166" fontId="7" fillId="5" borderId="1" xfId="0" applyFont="true" applyBorder="true" applyAlignment="false" applyProtection="false">
      <alignment horizontal="general" vertical="bottom" textRotation="0" wrapText="false" indent="0" shrinkToFit="false"/>
      <protection locked="true" hidden="false"/>
    </xf>
    <xf numFmtId="167" fontId="10" fillId="0" borderId="1" xfId="0" applyFont="true" applyBorder="true" applyAlignment="true" applyProtection="false">
      <alignment horizontal="left" vertical="bottom" textRotation="0" wrapText="false" indent="0" shrinkToFit="false"/>
      <protection locked="true" hidden="false"/>
    </xf>
    <xf numFmtId="168" fontId="10" fillId="0" borderId="1" xfId="0" applyFont="true" applyBorder="true" applyAlignment="false" applyProtection="false">
      <alignment horizontal="general" vertical="bottom" textRotation="0" wrapText="false" indent="0" shrinkToFit="false"/>
      <protection locked="true" hidden="false"/>
    </xf>
    <xf numFmtId="166" fontId="7" fillId="2" borderId="1" xfId="0" applyFont="true" applyBorder="true" applyAlignment="false" applyProtection="false">
      <alignment horizontal="general" vertical="bottom" textRotation="0" wrapText="false" indent="0" shrinkToFit="false"/>
      <protection locked="true" hidden="false"/>
    </xf>
    <xf numFmtId="164" fontId="0" fillId="6" borderId="1" xfId="0" applyFont="false" applyBorder="true" applyAlignment="false" applyProtection="false">
      <alignment horizontal="general" vertical="bottom" textRotation="0" wrapText="false" indent="0" shrinkToFit="false"/>
      <protection locked="true" hidden="false"/>
    </xf>
    <xf numFmtId="164" fontId="6" fillId="6" borderId="1" xfId="0" applyFont="true" applyBorder="true" applyAlignment="false" applyProtection="false">
      <alignment horizontal="general" vertical="bottom" textRotation="0" wrapText="false" indent="0" shrinkToFit="false"/>
      <protection locked="true" hidden="false"/>
    </xf>
    <xf numFmtId="168" fontId="6" fillId="6"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8" fontId="7" fillId="2" borderId="1" xfId="0" applyFont="true" applyBorder="true" applyAlignment="false" applyProtection="false">
      <alignment horizontal="general" vertical="bottom" textRotation="0" wrapText="false" indent="0" shrinkToFit="false"/>
      <protection locked="true" hidden="false"/>
    </xf>
    <xf numFmtId="164" fontId="11" fillId="2" borderId="1" xfId="0" applyFont="true" applyBorder="true" applyAlignment="fals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center" vertical="bottom" textRotation="0" wrapText="false" indent="0" shrinkToFit="false"/>
      <protection locked="true" hidden="false"/>
    </xf>
    <xf numFmtId="168" fontId="7" fillId="5" borderId="1" xfId="0" applyFont="true" applyBorder="true" applyAlignment="false" applyProtection="false">
      <alignment horizontal="general" vertical="bottom" textRotation="0" wrapText="false" indent="0" shrinkToFit="false"/>
      <protection locked="true" hidden="false"/>
    </xf>
    <xf numFmtId="168" fontId="6"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0" fillId="7" borderId="1" xfId="0" applyFont="false" applyBorder="true" applyAlignment="false" applyProtection="false">
      <alignment horizontal="general" vertical="bottom" textRotation="0" wrapText="false" indent="0" shrinkToFit="false"/>
      <protection locked="true" hidden="false"/>
    </xf>
    <xf numFmtId="164" fontId="12" fillId="7" borderId="1" xfId="0" applyFont="true" applyBorder="true" applyAlignment="false" applyProtection="false">
      <alignment horizontal="general" vertical="bottom" textRotation="0" wrapText="false" indent="0" shrinkToFit="false"/>
      <protection locked="true" hidden="false"/>
    </xf>
    <xf numFmtId="168" fontId="12" fillId="7" borderId="1" xfId="0" applyFont="true" applyBorder="true" applyAlignment="false" applyProtection="false">
      <alignment horizontal="general" vertical="bottom" textRotation="0" wrapText="false" indent="0" shrinkToFit="false"/>
      <protection locked="true" hidden="false"/>
    </xf>
    <xf numFmtId="164" fontId="13" fillId="8" borderId="0" xfId="0" applyFont="true" applyBorder="false" applyAlignment="true" applyProtection="false">
      <alignment horizontal="center" vertical="top" textRotation="0" wrapText="false" indent="0" shrinkToFit="false"/>
      <protection locked="true" hidden="false"/>
    </xf>
    <xf numFmtId="164" fontId="6" fillId="8" borderId="0" xfId="0" applyFont="true" applyBorder="false" applyAlignment="true" applyProtection="false">
      <alignment horizontal="general" vertical="top" textRotation="0" wrapText="false" indent="0" shrinkToFit="false"/>
      <protection locked="true" hidden="false"/>
    </xf>
    <xf numFmtId="164" fontId="10" fillId="8"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center"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7" fontId="7" fillId="0" borderId="1" xfId="0" applyFont="true" applyBorder="true" applyAlignment="true" applyProtection="false">
      <alignment horizontal="center" vertical="bottom" textRotation="0" wrapText="fals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E8E8E8"/>
      <rgbColor rgb="FF660066"/>
      <rgbColor rgb="FFFF8080"/>
      <rgbColor rgb="FF0066CC"/>
      <rgbColor rgb="FFD9E1D9"/>
      <rgbColor rgb="FF000080"/>
      <rgbColor rgb="FFFF00FF"/>
      <rgbColor rgb="FFFFFF00"/>
      <rgbColor rgb="FF00FFFF"/>
      <rgbColor rgb="FF800080"/>
      <rgbColor rgb="FF800000"/>
      <rgbColor rgb="FF008080"/>
      <rgbColor rgb="FF0000FF"/>
      <rgbColor rgb="FF00CCFF"/>
      <rgbColor rgb="FFCCFFFF"/>
      <rgbColor rgb="FFFCE4E4"/>
      <rgbColor rgb="FFFFFF99"/>
      <rgbColor rgb="FF99CCFF"/>
      <rgbColor rgb="FFFF99CC"/>
      <rgbColor rgb="FFCC99FF"/>
      <rgbColor rgb="FFFFC7CE"/>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2F4F4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7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7"/>
    <col collapsed="false" customWidth="true" hidden="false" outlineLevel="0" max="3" min="3" style="0" width="20"/>
    <col collapsed="false" customWidth="true" hidden="false" outlineLevel="0" max="4" min="4" style="0" width="12"/>
    <col collapsed="false" customWidth="true" hidden="false" outlineLevel="0" max="5" min="5" style="0" width="10"/>
    <col collapsed="false" customWidth="true" hidden="false" outlineLevel="0" max="8" min="6" style="0" width="5"/>
    <col collapsed="false" customWidth="true" hidden="false" outlineLevel="0" max="9" min="9" style="0" width="13"/>
  </cols>
  <sheetData>
    <row r="1" customFormat="false" ht="19.7" hidden="false" customHeight="false" outlineLevel="0" collapsed="false">
      <c r="A1" s="1" t="s">
        <v>0</v>
      </c>
      <c r="B1" s="1"/>
      <c r="C1" s="1"/>
      <c r="D1" s="1"/>
      <c r="E1" s="1"/>
      <c r="F1" s="1"/>
      <c r="G1" s="1"/>
      <c r="H1" s="1"/>
      <c r="I1" s="1"/>
    </row>
    <row r="2" customFormat="false" ht="15" hidden="false" customHeight="false" outlineLevel="0" collapsed="false">
      <c r="A2" s="2" t="s">
        <v>1</v>
      </c>
      <c r="B2" s="2"/>
      <c r="C2" s="2"/>
      <c r="D2" s="2"/>
      <c r="E2" s="2"/>
      <c r="F2" s="2"/>
      <c r="G2" s="2"/>
      <c r="H2" s="2"/>
      <c r="I2" s="2"/>
    </row>
    <row r="4" customFormat="false" ht="15" hidden="false" customHeight="false" outlineLevel="0" collapsed="false">
      <c r="A4" s="3" t="s">
        <v>2</v>
      </c>
      <c r="B4" s="4" t="s">
        <v>3</v>
      </c>
      <c r="C4" s="4"/>
      <c r="D4" s="4"/>
      <c r="E4" s="4"/>
      <c r="G4" s="5" t="s">
        <v>4</v>
      </c>
    </row>
    <row r="5" customFormat="false" ht="15" hidden="false" customHeight="false" outlineLevel="0" collapsed="false">
      <c r="A5" s="3" t="s">
        <v>5</v>
      </c>
      <c r="B5" s="4" t="s">
        <v>6</v>
      </c>
      <c r="C5" s="4"/>
      <c r="D5" s="4"/>
      <c r="E5" s="4"/>
      <c r="G5" s="5" t="s">
        <v>7</v>
      </c>
    </row>
    <row r="6" customFormat="false" ht="15" hidden="false" customHeight="false" outlineLevel="0" collapsed="false">
      <c r="A6" s="3" t="s">
        <v>8</v>
      </c>
      <c r="B6" s="4" t="s">
        <v>9</v>
      </c>
      <c r="C6" s="4"/>
      <c r="D6" s="4"/>
      <c r="E6" s="4"/>
      <c r="G6" s="2" t="s">
        <v>10</v>
      </c>
      <c r="H6" s="2"/>
      <c r="I6" s="2"/>
    </row>
    <row r="7" customFormat="false" ht="15" hidden="false" customHeight="false" outlineLevel="0" collapsed="false">
      <c r="A7" s="3" t="s">
        <v>11</v>
      </c>
      <c r="B7" s="4"/>
      <c r="C7" s="4"/>
      <c r="D7" s="4"/>
      <c r="E7" s="4"/>
      <c r="G7" s="2" t="s">
        <v>12</v>
      </c>
      <c r="H7" s="2"/>
      <c r="I7" s="2"/>
    </row>
    <row r="8" customFormat="false" ht="15" hidden="false" customHeight="false" outlineLevel="0" collapsed="false">
      <c r="A8" s="3" t="s">
        <v>13</v>
      </c>
      <c r="B8" s="4" t="s">
        <v>14</v>
      </c>
      <c r="C8" s="4"/>
      <c r="D8" s="4"/>
      <c r="E8" s="4"/>
    </row>
    <row r="9" customFormat="false" ht="15" hidden="false" customHeight="false" outlineLevel="0" collapsed="false">
      <c r="A9" s="3" t="s">
        <v>15</v>
      </c>
      <c r="B9" s="4" t="s">
        <v>16</v>
      </c>
      <c r="C9" s="4"/>
      <c r="D9" s="4"/>
      <c r="E9" s="4"/>
    </row>
    <row r="10" customFormat="false" ht="15" hidden="false" customHeight="false" outlineLevel="0" collapsed="false">
      <c r="A10" s="3" t="s">
        <v>17</v>
      </c>
      <c r="B10" s="4" t="s">
        <v>18</v>
      </c>
      <c r="C10" s="4"/>
      <c r="D10" s="4"/>
      <c r="E10" s="4"/>
    </row>
    <row r="11" customFormat="false" ht="15" hidden="false" customHeight="false" outlineLevel="0" collapsed="false">
      <c r="A11" s="3" t="s">
        <v>19</v>
      </c>
      <c r="B11" s="4" t="s">
        <v>20</v>
      </c>
      <c r="C11" s="4"/>
      <c r="D11" s="4"/>
      <c r="E11" s="4"/>
    </row>
    <row r="13" customFormat="false" ht="19.5" hidden="false" customHeight="true" outlineLevel="0" collapsed="false">
      <c r="A13" s="6" t="s">
        <v>21</v>
      </c>
      <c r="B13" s="6"/>
      <c r="C13" s="6"/>
      <c r="D13" s="6"/>
      <c r="E13" s="6"/>
      <c r="F13" s="6"/>
      <c r="G13" s="6"/>
      <c r="H13" s="6"/>
      <c r="I13" s="6"/>
    </row>
    <row r="14" customFormat="false" ht="24" hidden="false" customHeight="true" outlineLevel="0" collapsed="false">
      <c r="A14" s="7" t="s">
        <v>22</v>
      </c>
      <c r="B14" s="7" t="s">
        <v>23</v>
      </c>
      <c r="C14" s="7" t="s">
        <v>24</v>
      </c>
      <c r="D14" s="7" t="s">
        <v>25</v>
      </c>
      <c r="E14" s="7" t="s">
        <v>26</v>
      </c>
      <c r="I14" s="7" t="s">
        <v>27</v>
      </c>
    </row>
    <row r="15" customFormat="false" ht="15" hidden="false" customHeight="false" outlineLevel="0" collapsed="false">
      <c r="A15" s="8" t="s">
        <v>28</v>
      </c>
      <c r="B15" s="4" t="s">
        <v>29</v>
      </c>
      <c r="C15" s="4" t="s">
        <v>30</v>
      </c>
      <c r="D15" s="9"/>
      <c r="E15" s="10" t="str">
        <f aca="false">IF($D15="","",IFERROR(INDEX('Saetze 2026'!$C$15:$C$17,MATCH($C15,'Saetze 2026'!$A$15:$A$17,0)),'Saetze 2026'!$C$15))</f>
        <v/>
      </c>
      <c r="F15" s="10"/>
      <c r="G15" s="10"/>
      <c r="H15" s="10"/>
      <c r="I15" s="11" t="str">
        <f aca="false">IF($D15="","",$D15*$E15)</f>
        <v/>
      </c>
    </row>
    <row r="16" customFormat="false" ht="15" hidden="false" customHeight="false" outlineLevel="0" collapsed="false">
      <c r="A16" s="8"/>
      <c r="B16" s="4"/>
      <c r="C16" s="4"/>
      <c r="D16" s="12"/>
      <c r="E16" s="10" t="str">
        <f aca="false">IF($D16="","",IFERROR(INDEX('Saetze 2026'!$C$15:$C$17,MATCH($C16,'Saetze 2026'!$A$15:$A$17,0)),'Saetze 2026'!$C$15))</f>
        <v/>
      </c>
      <c r="F16" s="10"/>
      <c r="G16" s="10"/>
      <c r="H16" s="10"/>
      <c r="I16" s="11" t="str">
        <f aca="false">IF($D16="","",$D16*$E16)</f>
        <v/>
      </c>
    </row>
    <row r="17" customFormat="false" ht="15" hidden="false" customHeight="false" outlineLevel="0" collapsed="false">
      <c r="A17" s="8"/>
      <c r="B17" s="4"/>
      <c r="C17" s="4"/>
      <c r="D17" s="12"/>
      <c r="E17" s="10" t="str">
        <f aca="false">IF($D17="","",IFERROR(INDEX('Saetze 2026'!$C$15:$C$17,MATCH($C17,'Saetze 2026'!$A$15:$A$17,0)),'Saetze 2026'!$C$15))</f>
        <v/>
      </c>
      <c r="F17" s="10"/>
      <c r="G17" s="10"/>
      <c r="H17" s="10"/>
      <c r="I17" s="11" t="str">
        <f aca="false">IF($D17="","",$D17*$E17)</f>
        <v/>
      </c>
    </row>
    <row r="18" customFormat="false" ht="15" hidden="false" customHeight="false" outlineLevel="0" collapsed="false">
      <c r="A18" s="8"/>
      <c r="B18" s="4"/>
      <c r="C18" s="4"/>
      <c r="D18" s="12"/>
      <c r="E18" s="10" t="str">
        <f aca="false">IF($D18="","",IFERROR(INDEX('Saetze 2026'!$C$15:$C$17,MATCH($C18,'Saetze 2026'!$A$15:$A$17,0)),'Saetze 2026'!$C$15))</f>
        <v/>
      </c>
      <c r="F18" s="10"/>
      <c r="G18" s="10"/>
      <c r="H18" s="10"/>
      <c r="I18" s="11" t="str">
        <f aca="false">IF($D18="","",$D18*$E18)</f>
        <v/>
      </c>
    </row>
    <row r="19" customFormat="false" ht="15" hidden="false" customHeight="false" outlineLevel="0" collapsed="false">
      <c r="A19" s="13"/>
      <c r="B19" s="14" t="s">
        <v>31</v>
      </c>
      <c r="C19" s="13"/>
      <c r="D19" s="13"/>
      <c r="E19" s="13"/>
      <c r="F19" s="13"/>
      <c r="G19" s="13"/>
      <c r="H19" s="13"/>
      <c r="I19" s="15" t="n">
        <f aca="false">SUM(I15:I18)</f>
        <v>0</v>
      </c>
    </row>
    <row r="21" customFormat="false" ht="19.5" hidden="false" customHeight="true" outlineLevel="0" collapsed="false">
      <c r="A21" s="6" t="s">
        <v>32</v>
      </c>
      <c r="B21" s="6"/>
      <c r="C21" s="6"/>
      <c r="D21" s="6"/>
      <c r="E21" s="6"/>
      <c r="F21" s="6"/>
      <c r="G21" s="6"/>
      <c r="H21" s="6"/>
      <c r="I21" s="6"/>
    </row>
    <row r="22" customFormat="false" ht="24" hidden="false" customHeight="true" outlineLevel="0" collapsed="false">
      <c r="A22" s="7" t="s">
        <v>22</v>
      </c>
      <c r="B22" s="7" t="s">
        <v>33</v>
      </c>
      <c r="C22" s="7" t="s">
        <v>34</v>
      </c>
      <c r="I22" s="7" t="s">
        <v>27</v>
      </c>
    </row>
    <row r="23" customFormat="false" ht="15" hidden="false" customHeight="false" outlineLevel="0" collapsed="false">
      <c r="A23" s="8" t="s">
        <v>28</v>
      </c>
      <c r="B23" s="4" t="s">
        <v>35</v>
      </c>
      <c r="C23" s="4" t="s">
        <v>36</v>
      </c>
      <c r="D23" s="16"/>
      <c r="E23" s="16"/>
      <c r="F23" s="16"/>
      <c r="G23" s="16"/>
      <c r="H23" s="16"/>
      <c r="I23" s="17" t="n">
        <v>86</v>
      </c>
    </row>
    <row r="24" customFormat="false" ht="15" hidden="false" customHeight="false" outlineLevel="0" collapsed="false">
      <c r="A24" s="8" t="s">
        <v>37</v>
      </c>
      <c r="B24" s="4" t="s">
        <v>38</v>
      </c>
      <c r="C24" s="4" t="s">
        <v>39</v>
      </c>
      <c r="D24" s="16"/>
      <c r="E24" s="16"/>
      <c r="F24" s="16"/>
      <c r="G24" s="16"/>
      <c r="H24" s="16"/>
      <c r="I24" s="17" t="n">
        <v>8.26</v>
      </c>
    </row>
    <row r="25" customFormat="false" ht="15" hidden="false" customHeight="false" outlineLevel="0" collapsed="false">
      <c r="A25" s="8" t="s">
        <v>37</v>
      </c>
      <c r="B25" s="18" t="s">
        <v>40</v>
      </c>
      <c r="C25" s="4" t="s">
        <v>41</v>
      </c>
      <c r="D25" s="16"/>
      <c r="E25" s="16"/>
      <c r="F25" s="16"/>
      <c r="G25" s="16"/>
      <c r="H25" s="16"/>
      <c r="I25" s="17" t="n">
        <v>30.68</v>
      </c>
    </row>
    <row r="26" customFormat="false" ht="15" hidden="false" customHeight="false" outlineLevel="0" collapsed="false">
      <c r="A26" s="8" t="s">
        <v>28</v>
      </c>
      <c r="B26" s="4" t="s">
        <v>42</v>
      </c>
      <c r="C26" s="4" t="s">
        <v>43</v>
      </c>
      <c r="D26" s="16"/>
      <c r="E26" s="16"/>
      <c r="F26" s="16"/>
      <c r="G26" s="16"/>
      <c r="H26" s="16"/>
      <c r="I26" s="17" t="n">
        <v>3.73</v>
      </c>
    </row>
    <row r="27" customFormat="false" ht="15" hidden="false" customHeight="false" outlineLevel="0" collapsed="false">
      <c r="A27" s="8" t="s">
        <v>37</v>
      </c>
      <c r="B27" s="4" t="s">
        <v>42</v>
      </c>
      <c r="C27" s="4" t="s">
        <v>43</v>
      </c>
      <c r="D27" s="16"/>
      <c r="E27" s="16"/>
      <c r="F27" s="16"/>
      <c r="G27" s="16"/>
      <c r="H27" s="16"/>
      <c r="I27" s="17" t="n">
        <v>3.72</v>
      </c>
    </row>
    <row r="28" customFormat="false" ht="15" hidden="false" customHeight="false" outlineLevel="0" collapsed="false">
      <c r="A28" s="8" t="s">
        <v>37</v>
      </c>
      <c r="B28" s="4" t="s">
        <v>42</v>
      </c>
      <c r="C28" s="4" t="s">
        <v>44</v>
      </c>
      <c r="D28" s="16"/>
      <c r="E28" s="16"/>
      <c r="F28" s="16"/>
      <c r="G28" s="16"/>
      <c r="H28" s="16"/>
      <c r="I28" s="17" t="n">
        <v>2.36</v>
      </c>
    </row>
    <row r="29" customFormat="false" ht="15" hidden="false" customHeight="false" outlineLevel="0" collapsed="false">
      <c r="A29" s="8"/>
      <c r="B29" s="4"/>
      <c r="C29" s="4"/>
      <c r="D29" s="16"/>
      <c r="E29" s="16"/>
      <c r="F29" s="16"/>
      <c r="G29" s="16"/>
      <c r="H29" s="16"/>
      <c r="I29" s="17"/>
    </row>
    <row r="30" customFormat="false" ht="15" hidden="false" customHeight="false" outlineLevel="0" collapsed="false">
      <c r="A30" s="13"/>
      <c r="B30" s="14" t="s">
        <v>45</v>
      </c>
      <c r="C30" s="13"/>
      <c r="D30" s="13"/>
      <c r="E30" s="13"/>
      <c r="F30" s="13"/>
      <c r="G30" s="13"/>
      <c r="H30" s="13"/>
      <c r="I30" s="15" t="n">
        <f aca="false">SUM(I23:I29)</f>
        <v>134.75</v>
      </c>
    </row>
    <row r="32" customFormat="false" ht="19.5" hidden="false" customHeight="true" outlineLevel="0" collapsed="false">
      <c r="A32" s="6" t="s">
        <v>46</v>
      </c>
      <c r="B32" s="6"/>
      <c r="C32" s="6"/>
      <c r="D32" s="6"/>
      <c r="E32" s="6"/>
      <c r="F32" s="6"/>
      <c r="G32" s="6"/>
      <c r="H32" s="6"/>
      <c r="I32" s="6"/>
    </row>
    <row r="33" customFormat="false" ht="24" hidden="false" customHeight="true" outlineLevel="0" collapsed="false">
      <c r="A33" s="7" t="s">
        <v>22</v>
      </c>
      <c r="B33" s="7" t="s">
        <v>47</v>
      </c>
      <c r="C33" s="7" t="s">
        <v>48</v>
      </c>
      <c r="D33" s="7" t="s">
        <v>49</v>
      </c>
      <c r="E33" s="7" t="s">
        <v>50</v>
      </c>
      <c r="F33" s="7" t="s">
        <v>51</v>
      </c>
      <c r="G33" s="7" t="s">
        <v>52</v>
      </c>
      <c r="H33" s="7" t="s">
        <v>53</v>
      </c>
      <c r="I33" s="7" t="s">
        <v>27</v>
      </c>
    </row>
    <row r="34" customFormat="false" ht="15" hidden="false" customHeight="false" outlineLevel="0" collapsed="false">
      <c r="A34" s="8" t="s">
        <v>28</v>
      </c>
      <c r="B34" s="4" t="s">
        <v>54</v>
      </c>
      <c r="C34" s="4" t="s">
        <v>55</v>
      </c>
      <c r="D34" s="11" t="n">
        <f aca="false">IF($A34="","",IFERROR(INDEX('Saetze 2026'!$C$5:$F$7,MATCH($B34,'Saetze 2026'!$B$5:$B$7,0),MATCH($C34,'Saetze 2026'!$C$4:$F$4,0)),0))</f>
        <v>44</v>
      </c>
      <c r="E34" s="11" t="n">
        <f aca="false">IF($A34="","",IFERROR(INDEX('Saetze 2026'!$C$5:$C$7,MATCH($B34,'Saetze 2026'!$B$5:$B$7,0)),0)*(IF(LOWER($F34)="x",'Saetze 2026'!$B$10,0)+IF(LOWER($G34)="x",'Saetze 2026'!$B$11,0)+IF(LOWER($H34)="x",'Saetze 2026'!$B$12,0)))</f>
        <v>0</v>
      </c>
      <c r="F34" s="19"/>
      <c r="G34" s="19"/>
      <c r="H34" s="19"/>
      <c r="I34" s="11" t="n">
        <f aca="false">IF($A34="","",MAX(0,$D34-$E34))</f>
        <v>44</v>
      </c>
    </row>
    <row r="35" customFormat="false" ht="15" hidden="false" customHeight="false" outlineLevel="0" collapsed="false">
      <c r="A35" s="8" t="s">
        <v>37</v>
      </c>
      <c r="B35" s="4" t="s">
        <v>54</v>
      </c>
      <c r="C35" s="4" t="s">
        <v>55</v>
      </c>
      <c r="D35" s="11" t="n">
        <f aca="false">IF($A35="","",IFERROR(INDEX('Saetze 2026'!$C$5:$F$7,MATCH($B35,'Saetze 2026'!$B$5:$B$7,0),MATCH($C35,'Saetze 2026'!$C$4:$F$4,0)),0))</f>
        <v>44</v>
      </c>
      <c r="E35" s="11" t="n">
        <f aca="false">IF($A35="","",IFERROR(INDEX('Saetze 2026'!$C$5:$C$7,MATCH($B35,'Saetze 2026'!$B$5:$B$7,0)),0)*(IF(LOWER($F35)="x",'Saetze 2026'!$B$10,0)+IF(LOWER($G35)="x",'Saetze 2026'!$B$11,0)+IF(LOWER($H35)="x",'Saetze 2026'!$B$12,0)))</f>
        <v>0</v>
      </c>
      <c r="F35" s="19"/>
      <c r="G35" s="19"/>
      <c r="H35" s="19"/>
      <c r="I35" s="11" t="n">
        <f aca="false">IF($A35="","",MAX(0,$D35-$E35))</f>
        <v>44</v>
      </c>
    </row>
    <row r="36" customFormat="false" ht="15" hidden="false" customHeight="false" outlineLevel="0" collapsed="false">
      <c r="A36" s="8"/>
      <c r="B36" s="4"/>
      <c r="C36" s="4"/>
      <c r="D36" s="11" t="str">
        <f aca="false">IF($A36="","",IFERROR(INDEX('Saetze 2026'!$C$5:$F$7,MATCH($B36,'Saetze 2026'!$B$5:$B$7,0),MATCH($C36,'Saetze 2026'!$C$4:$F$4,0)),0))</f>
        <v/>
      </c>
      <c r="E36" s="11" t="str">
        <f aca="false">IF($A36="","",IFERROR(INDEX('Saetze 2026'!$C$5:$C$7,MATCH($B36,'Saetze 2026'!$B$5:$B$7,0)),0)*(IF(LOWER($F36)="x",'Saetze 2026'!$B$10,0)+IF(LOWER($G36)="x",'Saetze 2026'!$B$11,0)+IF(LOWER($H36)="x",'Saetze 2026'!$B$12,0)))</f>
        <v/>
      </c>
      <c r="F36" s="19"/>
      <c r="G36" s="19"/>
      <c r="H36" s="19"/>
      <c r="I36" s="11" t="str">
        <f aca="false">IF($A36="","",MAX(0,$D36-$E36))</f>
        <v/>
      </c>
    </row>
    <row r="37" customFormat="false" ht="15" hidden="false" customHeight="false" outlineLevel="0" collapsed="false">
      <c r="A37" s="8"/>
      <c r="B37" s="4"/>
      <c r="C37" s="4"/>
      <c r="D37" s="11" t="str">
        <f aca="false">IF($A37="","",IFERROR(INDEX('Saetze 2026'!$C$5:$F$7,MATCH($B37,'Saetze 2026'!$B$5:$B$7,0),MATCH($C37,'Saetze 2026'!$C$4:$F$4,0)),0))</f>
        <v/>
      </c>
      <c r="E37" s="11" t="str">
        <f aca="false">IF($A37="","",IFERROR(INDEX('Saetze 2026'!$C$5:$C$7,MATCH($B37,'Saetze 2026'!$B$5:$B$7,0)),0)*(IF(LOWER($F37)="x",'Saetze 2026'!$B$10,0)+IF(LOWER($G37)="x",'Saetze 2026'!$B$11,0)+IF(LOWER($H37)="x",'Saetze 2026'!$B$12,0)))</f>
        <v/>
      </c>
      <c r="F37" s="19"/>
      <c r="G37" s="19"/>
      <c r="H37" s="19"/>
      <c r="I37" s="11" t="str">
        <f aca="false">IF($A37="","",MAX(0,$D37-$E37))</f>
        <v/>
      </c>
    </row>
    <row r="38" customFormat="false" ht="15" hidden="false" customHeight="false" outlineLevel="0" collapsed="false">
      <c r="A38" s="8"/>
      <c r="B38" s="4"/>
      <c r="C38" s="4"/>
      <c r="D38" s="11" t="str">
        <f aca="false">IF($A38="","",IFERROR(INDEX('Saetze 2026'!$C$5:$F$7,MATCH($B38,'Saetze 2026'!$B$5:$B$7,0),MATCH($C38,'Saetze 2026'!$C$4:$F$4,0)),0))</f>
        <v/>
      </c>
      <c r="E38" s="11" t="str">
        <f aca="false">IF($A38="","",IFERROR(INDEX('Saetze 2026'!$C$5:$C$7,MATCH($B38,'Saetze 2026'!$B$5:$B$7,0)),0)*(IF(LOWER($F38)="x",'Saetze 2026'!$B$10,0)+IF(LOWER($G38)="x",'Saetze 2026'!$B$11,0)+IF(LOWER($H38)="x",'Saetze 2026'!$B$12,0)))</f>
        <v/>
      </c>
      <c r="F38" s="19"/>
      <c r="G38" s="19"/>
      <c r="H38" s="19"/>
      <c r="I38" s="11" t="str">
        <f aca="false">IF($A38="","",MAX(0,$D38-$E38))</f>
        <v/>
      </c>
    </row>
    <row r="39" customFormat="false" ht="15" hidden="false" customHeight="false" outlineLevel="0" collapsed="false">
      <c r="A39" s="8"/>
      <c r="B39" s="4"/>
      <c r="C39" s="4"/>
      <c r="D39" s="11" t="str">
        <f aca="false">IF($A39="","",IFERROR(INDEX('Saetze 2026'!$C$5:$F$7,MATCH($B39,'Saetze 2026'!$B$5:$B$7,0),MATCH($C39,'Saetze 2026'!$C$4:$F$4,0)),0))</f>
        <v/>
      </c>
      <c r="E39" s="11" t="str">
        <f aca="false">IF($A39="","",IFERROR(INDEX('Saetze 2026'!$C$5:$C$7,MATCH($B39,'Saetze 2026'!$B$5:$B$7,0)),0)*(IF(LOWER($F39)="x",'Saetze 2026'!$B$10,0)+IF(LOWER($G39)="x",'Saetze 2026'!$B$11,0)+IF(LOWER($H39)="x",'Saetze 2026'!$B$12,0)))</f>
        <v/>
      </c>
      <c r="F39" s="19"/>
      <c r="G39" s="19"/>
      <c r="H39" s="19"/>
      <c r="I39" s="11" t="str">
        <f aca="false">IF($A39="","",MAX(0,$D39-$E39))</f>
        <v/>
      </c>
    </row>
    <row r="40" customFormat="false" ht="15" hidden="false" customHeight="false" outlineLevel="0" collapsed="false">
      <c r="A40" s="13"/>
      <c r="B40" s="14" t="s">
        <v>56</v>
      </c>
      <c r="C40" s="13"/>
      <c r="D40" s="13"/>
      <c r="E40" s="13"/>
      <c r="F40" s="13"/>
      <c r="G40" s="13"/>
      <c r="H40" s="13"/>
      <c r="I40" s="15" t="n">
        <f aca="false">SUM(I34:I39)</f>
        <v>88</v>
      </c>
    </row>
    <row r="42" customFormat="false" ht="19.5" hidden="false" customHeight="true" outlineLevel="0" collapsed="false">
      <c r="A42" s="6" t="s">
        <v>57</v>
      </c>
      <c r="B42" s="6"/>
      <c r="C42" s="6"/>
      <c r="D42" s="6"/>
      <c r="E42" s="6"/>
      <c r="F42" s="6"/>
      <c r="G42" s="6"/>
      <c r="H42" s="6"/>
      <c r="I42" s="6"/>
    </row>
    <row r="43" customFormat="false" ht="24" hidden="false" customHeight="true" outlineLevel="0" collapsed="false">
      <c r="A43" s="7" t="s">
        <v>22</v>
      </c>
      <c r="B43" s="7" t="s">
        <v>58</v>
      </c>
      <c r="C43" s="7" t="s">
        <v>59</v>
      </c>
      <c r="I43" s="7" t="s">
        <v>27</v>
      </c>
    </row>
    <row r="44" customFormat="false" ht="15" hidden="false" customHeight="false" outlineLevel="0" collapsed="false">
      <c r="A44" s="8" t="s">
        <v>28</v>
      </c>
      <c r="B44" s="4" t="s">
        <v>60</v>
      </c>
      <c r="C44" s="4" t="s">
        <v>61</v>
      </c>
      <c r="D44" s="16"/>
      <c r="E44" s="16"/>
      <c r="F44" s="16"/>
      <c r="G44" s="16"/>
      <c r="H44" s="16"/>
      <c r="I44" s="20"/>
    </row>
    <row r="45" customFormat="false" ht="15" hidden="false" customHeight="false" outlineLevel="0" collapsed="false">
      <c r="A45" s="8"/>
      <c r="B45" s="4"/>
      <c r="C45" s="4"/>
      <c r="D45" s="16"/>
      <c r="E45" s="16"/>
      <c r="F45" s="16"/>
      <c r="G45" s="16"/>
      <c r="H45" s="16"/>
      <c r="I45" s="17"/>
    </row>
    <row r="46" customFormat="false" ht="15" hidden="false" customHeight="false" outlineLevel="0" collapsed="false">
      <c r="A46" s="8"/>
      <c r="B46" s="4"/>
      <c r="C46" s="4"/>
      <c r="D46" s="16"/>
      <c r="E46" s="16"/>
      <c r="F46" s="16"/>
      <c r="G46" s="16"/>
      <c r="H46" s="16"/>
      <c r="I46" s="17"/>
    </row>
    <row r="47" customFormat="false" ht="15" hidden="false" customHeight="false" outlineLevel="0" collapsed="false">
      <c r="A47" s="13"/>
      <c r="B47" s="14" t="s">
        <v>62</v>
      </c>
      <c r="C47" s="13"/>
      <c r="D47" s="13"/>
      <c r="E47" s="13"/>
      <c r="F47" s="13"/>
      <c r="G47" s="13"/>
      <c r="H47" s="13"/>
      <c r="I47" s="15" t="n">
        <f aca="false">SUM(I44:I46)</f>
        <v>0</v>
      </c>
    </row>
    <row r="49" customFormat="false" ht="19.5" hidden="false" customHeight="true" outlineLevel="0" collapsed="false">
      <c r="A49" s="6" t="s">
        <v>63</v>
      </c>
      <c r="B49" s="6"/>
      <c r="C49" s="6"/>
      <c r="D49" s="6"/>
      <c r="E49" s="6"/>
      <c r="F49" s="6"/>
      <c r="G49" s="6"/>
      <c r="H49" s="6"/>
      <c r="I49" s="6"/>
    </row>
    <row r="50" customFormat="false" ht="24" hidden="false" customHeight="true" outlineLevel="0" collapsed="false">
      <c r="A50" s="7" t="s">
        <v>22</v>
      </c>
      <c r="B50" s="7" t="s">
        <v>33</v>
      </c>
      <c r="C50" s="7" t="s">
        <v>34</v>
      </c>
      <c r="I50" s="7" t="s">
        <v>27</v>
      </c>
    </row>
    <row r="51" customFormat="false" ht="15" hidden="false" customHeight="false" outlineLevel="0" collapsed="false">
      <c r="A51" s="8" t="s">
        <v>64</v>
      </c>
      <c r="B51" s="4" t="s">
        <v>65</v>
      </c>
      <c r="C51" s="4" t="s">
        <v>66</v>
      </c>
      <c r="D51" s="16"/>
      <c r="E51" s="16"/>
      <c r="F51" s="16"/>
      <c r="G51" s="16"/>
      <c r="H51" s="16"/>
      <c r="I51" s="17" t="n">
        <v>24.23</v>
      </c>
    </row>
    <row r="52" customFormat="false" ht="15" hidden="false" customHeight="false" outlineLevel="0" collapsed="false">
      <c r="A52" s="8"/>
      <c r="B52" s="4"/>
      <c r="C52" s="4"/>
      <c r="D52" s="16"/>
      <c r="E52" s="16"/>
      <c r="F52" s="16"/>
      <c r="G52" s="16"/>
      <c r="H52" s="16"/>
      <c r="I52" s="17"/>
    </row>
    <row r="53" customFormat="false" ht="15" hidden="false" customHeight="false" outlineLevel="0" collapsed="false">
      <c r="A53" s="8"/>
      <c r="B53" s="4"/>
      <c r="C53" s="4"/>
      <c r="D53" s="16"/>
      <c r="E53" s="16"/>
      <c r="F53" s="16"/>
      <c r="G53" s="16"/>
      <c r="H53" s="16"/>
      <c r="I53" s="17"/>
    </row>
    <row r="54" customFormat="false" ht="15" hidden="false" customHeight="false" outlineLevel="0" collapsed="false">
      <c r="A54" s="8"/>
      <c r="B54" s="4"/>
      <c r="C54" s="4"/>
      <c r="D54" s="16"/>
      <c r="E54" s="16"/>
      <c r="F54" s="16"/>
      <c r="G54" s="16"/>
      <c r="H54" s="16"/>
      <c r="I54" s="17"/>
    </row>
    <row r="55" customFormat="false" ht="15" hidden="false" customHeight="false" outlineLevel="0" collapsed="false">
      <c r="A55" s="13"/>
      <c r="B55" s="14" t="s">
        <v>67</v>
      </c>
      <c r="C55" s="13"/>
      <c r="D55" s="13"/>
      <c r="E55" s="13"/>
      <c r="F55" s="13"/>
      <c r="G55" s="13"/>
      <c r="H55" s="13"/>
      <c r="I55" s="15" t="n">
        <f aca="false">SUM(I51:I54)</f>
        <v>24.23</v>
      </c>
    </row>
    <row r="57" customFormat="false" ht="19.5" hidden="false" customHeight="true" outlineLevel="0" collapsed="false">
      <c r="A57" s="6" t="s">
        <v>68</v>
      </c>
      <c r="B57" s="6"/>
      <c r="C57" s="6"/>
      <c r="D57" s="6"/>
      <c r="E57" s="6"/>
      <c r="F57" s="6"/>
      <c r="G57" s="6"/>
      <c r="H57" s="6"/>
      <c r="I57" s="6"/>
    </row>
    <row r="58" customFormat="false" ht="15" hidden="false" customHeight="false" outlineLevel="0" collapsed="false">
      <c r="B58" s="3" t="s">
        <v>69</v>
      </c>
      <c r="I58" s="21" t="n">
        <f aca="false">I19+I30+I40+I47+I55</f>
        <v>246.98</v>
      </c>
    </row>
    <row r="59" customFormat="false" ht="15" hidden="false" customHeight="false" outlineLevel="0" collapsed="false">
      <c r="B59" s="22" t="s">
        <v>70</v>
      </c>
      <c r="I59" s="17"/>
    </row>
    <row r="60" customFormat="false" ht="15" hidden="false" customHeight="false" outlineLevel="0" collapsed="false">
      <c r="B60" s="22" t="s">
        <v>71</v>
      </c>
      <c r="I60" s="17"/>
    </row>
    <row r="61" customFormat="false" ht="21.75" hidden="false" customHeight="true" outlineLevel="0" collapsed="false">
      <c r="A61" s="23"/>
      <c r="B61" s="24" t="s">
        <v>72</v>
      </c>
      <c r="C61" s="23"/>
      <c r="D61" s="23"/>
      <c r="E61" s="23"/>
      <c r="F61" s="23"/>
      <c r="G61" s="23"/>
      <c r="H61" s="23"/>
      <c r="I61" s="25" t="n">
        <f aca="false">I58-N(I59)-N(I60)</f>
        <v>246.98</v>
      </c>
    </row>
    <row r="64" customFormat="false" ht="15" hidden="false" customHeight="false" outlineLevel="0" collapsed="false">
      <c r="A64" s="22" t="s">
        <v>73</v>
      </c>
      <c r="E64" s="22" t="s">
        <v>73</v>
      </c>
    </row>
    <row r="65" customFormat="false" ht="15" hidden="false" customHeight="false" outlineLevel="0" collapsed="false">
      <c r="A65" s="5" t="s">
        <v>74</v>
      </c>
      <c r="E65" s="5" t="s">
        <v>75</v>
      </c>
    </row>
    <row r="68" customFormat="false" ht="19.5" hidden="false" customHeight="true" outlineLevel="0" collapsed="false">
      <c r="A68" s="6" t="s">
        <v>76</v>
      </c>
      <c r="B68" s="6"/>
      <c r="C68" s="6"/>
      <c r="D68" s="6"/>
      <c r="E68" s="6"/>
      <c r="F68" s="6"/>
      <c r="G68" s="6"/>
      <c r="H68" s="6"/>
      <c r="I68" s="6"/>
    </row>
    <row r="69" customFormat="false" ht="42" hidden="false" customHeight="true" outlineLevel="0" collapsed="false">
      <c r="A69" s="26" t="s">
        <v>77</v>
      </c>
      <c r="B69" s="27" t="s">
        <v>78</v>
      </c>
      <c r="C69" s="28" t="s">
        <v>79</v>
      </c>
      <c r="D69" s="28"/>
      <c r="E69" s="28"/>
      <c r="F69" s="28"/>
      <c r="G69" s="28"/>
      <c r="H69" s="28"/>
      <c r="I69" s="28"/>
    </row>
    <row r="70" customFormat="false" ht="42" hidden="false" customHeight="true" outlineLevel="0" collapsed="false">
      <c r="A70" s="26" t="s">
        <v>77</v>
      </c>
      <c r="B70" s="27" t="s">
        <v>25</v>
      </c>
      <c r="C70" s="28" t="s">
        <v>80</v>
      </c>
      <c r="D70" s="28"/>
      <c r="E70" s="28"/>
      <c r="F70" s="28"/>
      <c r="G70" s="28"/>
      <c r="H70" s="28"/>
      <c r="I70" s="28"/>
    </row>
    <row r="71" customFormat="false" ht="27.75" hidden="false" customHeight="true" outlineLevel="0" collapsed="false">
      <c r="A71" s="26" t="s">
        <v>77</v>
      </c>
      <c r="B71" s="27" t="s">
        <v>81</v>
      </c>
      <c r="C71" s="28" t="s">
        <v>82</v>
      </c>
      <c r="D71" s="28"/>
      <c r="E71" s="28"/>
      <c r="F71" s="28"/>
      <c r="G71" s="28"/>
      <c r="H71" s="28"/>
      <c r="I71" s="28"/>
    </row>
    <row r="72" customFormat="false" ht="27.75" hidden="false" customHeight="true" outlineLevel="0" collapsed="false">
      <c r="A72" s="26" t="s">
        <v>77</v>
      </c>
      <c r="B72" s="27" t="s">
        <v>83</v>
      </c>
      <c r="C72" s="28" t="s">
        <v>84</v>
      </c>
      <c r="D72" s="28"/>
      <c r="E72" s="28"/>
      <c r="F72" s="28"/>
      <c r="G72" s="28"/>
      <c r="H72" s="28"/>
      <c r="I72" s="28"/>
    </row>
    <row r="73" customFormat="false" ht="27.75" hidden="false" customHeight="true" outlineLevel="0" collapsed="false">
      <c r="A73" s="26" t="s">
        <v>77</v>
      </c>
      <c r="B73" s="27" t="s">
        <v>85</v>
      </c>
      <c r="C73" s="28" t="s">
        <v>86</v>
      </c>
      <c r="D73" s="28"/>
      <c r="E73" s="28"/>
      <c r="F73" s="28"/>
      <c r="G73" s="28"/>
      <c r="H73" s="28"/>
      <c r="I73" s="28"/>
    </row>
    <row r="74" customFormat="false" ht="27.75" hidden="false" customHeight="true" outlineLevel="0" collapsed="false">
      <c r="A74" s="26" t="s">
        <v>77</v>
      </c>
      <c r="B74" s="27" t="s">
        <v>87</v>
      </c>
      <c r="C74" s="28" t="s">
        <v>88</v>
      </c>
      <c r="D74" s="28"/>
      <c r="E74" s="28"/>
      <c r="F74" s="28"/>
      <c r="G74" s="28"/>
      <c r="H74" s="28"/>
      <c r="I74" s="28"/>
    </row>
    <row r="75" customFormat="false" ht="42" hidden="false" customHeight="true" outlineLevel="0" collapsed="false">
      <c r="A75" s="29" t="s">
        <v>89</v>
      </c>
      <c r="B75" s="30" t="s">
        <v>90</v>
      </c>
      <c r="C75" s="31" t="s">
        <v>91</v>
      </c>
      <c r="D75" s="31"/>
      <c r="E75" s="31"/>
      <c r="F75" s="31"/>
      <c r="G75" s="31"/>
      <c r="H75" s="31"/>
      <c r="I75" s="31"/>
    </row>
    <row r="76" customFormat="false" ht="42" hidden="false" customHeight="true" outlineLevel="0" collapsed="false">
      <c r="A76" s="29" t="s">
        <v>89</v>
      </c>
      <c r="B76" s="30" t="s">
        <v>92</v>
      </c>
      <c r="C76" s="31" t="s">
        <v>93</v>
      </c>
      <c r="D76" s="31"/>
      <c r="E76" s="31"/>
      <c r="F76" s="31"/>
      <c r="G76" s="31"/>
      <c r="H76" s="31"/>
      <c r="I76" s="31"/>
    </row>
  </sheetData>
  <mergeCells count="45">
    <mergeCell ref="A1:I1"/>
    <mergeCell ref="A2:I2"/>
    <mergeCell ref="B4:E4"/>
    <mergeCell ref="B5:E5"/>
    <mergeCell ref="B6:E6"/>
    <mergeCell ref="G6:I6"/>
    <mergeCell ref="B7:E7"/>
    <mergeCell ref="G7:I7"/>
    <mergeCell ref="B8:E8"/>
    <mergeCell ref="B9:E9"/>
    <mergeCell ref="B10:E10"/>
    <mergeCell ref="B11:E11"/>
    <mergeCell ref="A13:I13"/>
    <mergeCell ref="E15:H15"/>
    <mergeCell ref="E16:H16"/>
    <mergeCell ref="E17:H17"/>
    <mergeCell ref="E18:H18"/>
    <mergeCell ref="A21:I21"/>
    <mergeCell ref="D23:H23"/>
    <mergeCell ref="D24:H24"/>
    <mergeCell ref="D25:H25"/>
    <mergeCell ref="D26:H26"/>
    <mergeCell ref="D27:H27"/>
    <mergeCell ref="D28:H28"/>
    <mergeCell ref="D29:H29"/>
    <mergeCell ref="A32:I32"/>
    <mergeCell ref="A42:I42"/>
    <mergeCell ref="D44:H44"/>
    <mergeCell ref="D45:H45"/>
    <mergeCell ref="D46:H46"/>
    <mergeCell ref="A49:I49"/>
    <mergeCell ref="D51:H51"/>
    <mergeCell ref="D52:H52"/>
    <mergeCell ref="D53:H53"/>
    <mergeCell ref="D54:H54"/>
    <mergeCell ref="A57:I57"/>
    <mergeCell ref="A68:I68"/>
    <mergeCell ref="C69:I69"/>
    <mergeCell ref="C70:I70"/>
    <mergeCell ref="C71:I71"/>
    <mergeCell ref="C72:I72"/>
    <mergeCell ref="C73:I73"/>
    <mergeCell ref="C74:I74"/>
    <mergeCell ref="C75:I75"/>
    <mergeCell ref="C76:I76"/>
  </mergeCells>
  <dataValidations count="4">
    <dataValidation allowBlank="true" errorStyle="stop" operator="between" showDropDown="false" showErrorMessage="false" showInputMessage="false" sqref="C15:C18" type="list">
      <formula1>'Saetze 2026'!$A$15:$A$17</formula1>
      <formula2>0</formula2>
    </dataValidation>
    <dataValidation allowBlank="true" errorStyle="stop" operator="between" showDropDown="false" showErrorMessage="false" showInputMessage="false" sqref="B34:B39" type="list">
      <formula1>'Saetze 2026'!$B$5:$B$7</formula1>
      <formula2>0</formula2>
    </dataValidation>
    <dataValidation allowBlank="true" errorStyle="stop" operator="between" showDropDown="false" showErrorMessage="false" showInputMessage="false" sqref="C34:C39" type="list">
      <formula1>'Saetze 2026'!$C$4:$F$4</formula1>
      <formula2>0</formula2>
    </dataValidation>
    <dataValidation allowBlank="true" errorStyle="stop" operator="between" showDropDown="false" showErrorMessage="false" showInputMessage="false" sqref="F34:H39" type="list">
      <formula1>"x"</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17"/>
    <col collapsed="false" customWidth="true" hidden="false" outlineLevel="0" max="4" min="3" style="0" width="15"/>
    <col collapsed="false" customWidth="true" hidden="false" outlineLevel="0" max="6" min="5" style="0" width="12"/>
    <col collapsed="false" customWidth="true" hidden="false" outlineLevel="0" max="7" min="7" style="0" width="15"/>
  </cols>
  <sheetData>
    <row r="1" customFormat="false" ht="19.7" hidden="false" customHeight="false" outlineLevel="0" collapsed="false">
      <c r="A1" s="32" t="s">
        <v>94</v>
      </c>
    </row>
    <row r="2" customFormat="false" ht="15" hidden="false" customHeight="false" outlineLevel="0" collapsed="false">
      <c r="A2" s="5" t="s">
        <v>95</v>
      </c>
    </row>
    <row r="4" customFormat="false" ht="27.75" hidden="false" customHeight="true" outlineLevel="0" collapsed="false">
      <c r="A4" s="7" t="s">
        <v>47</v>
      </c>
      <c r="B4" s="7" t="s">
        <v>96</v>
      </c>
      <c r="C4" s="7" t="s">
        <v>97</v>
      </c>
      <c r="D4" s="7" t="s">
        <v>55</v>
      </c>
      <c r="E4" s="7" t="s">
        <v>98</v>
      </c>
      <c r="F4" s="7" t="s">
        <v>99</v>
      </c>
      <c r="G4" s="7" t="s">
        <v>100</v>
      </c>
    </row>
    <row r="5" customFormat="false" ht="15" hidden="false" customHeight="false" outlineLevel="0" collapsed="false">
      <c r="A5" s="22" t="s">
        <v>101</v>
      </c>
      <c r="B5" s="22" t="s">
        <v>102</v>
      </c>
      <c r="C5" s="33" t="n">
        <v>28</v>
      </c>
      <c r="D5" s="33" t="n">
        <v>14</v>
      </c>
      <c r="E5" s="33" t="n">
        <v>14</v>
      </c>
      <c r="F5" s="33" t="n">
        <v>0</v>
      </c>
      <c r="G5" s="33" t="s">
        <v>89</v>
      </c>
    </row>
    <row r="6" customFormat="false" ht="15" hidden="false" customHeight="false" outlineLevel="0" collapsed="false">
      <c r="A6" s="22" t="s">
        <v>54</v>
      </c>
      <c r="B6" s="22" t="s">
        <v>54</v>
      </c>
      <c r="C6" s="33" t="n">
        <v>66</v>
      </c>
      <c r="D6" s="33" t="n">
        <v>44</v>
      </c>
      <c r="E6" s="33" t="n">
        <v>44</v>
      </c>
      <c r="F6" s="33" t="n">
        <v>0</v>
      </c>
      <c r="G6" s="33" t="n">
        <v>163</v>
      </c>
    </row>
    <row r="7" customFormat="false" ht="15" hidden="false" customHeight="false" outlineLevel="0" collapsed="false">
      <c r="A7" s="22" t="s">
        <v>103</v>
      </c>
      <c r="B7" s="22" t="s">
        <v>104</v>
      </c>
      <c r="C7" s="33" t="n">
        <v>52</v>
      </c>
      <c r="D7" s="33" t="n">
        <v>35</v>
      </c>
      <c r="E7" s="33" t="n">
        <v>35</v>
      </c>
      <c r="F7" s="33" t="n">
        <v>0</v>
      </c>
      <c r="G7" s="33" t="n">
        <v>99</v>
      </c>
    </row>
    <row r="9" customFormat="false" ht="15" hidden="false" customHeight="false" outlineLevel="0" collapsed="false">
      <c r="A9" s="3" t="s">
        <v>105</v>
      </c>
    </row>
    <row r="10" customFormat="false" ht="15" hidden="false" customHeight="false" outlineLevel="0" collapsed="false">
      <c r="A10" s="22" t="s">
        <v>106</v>
      </c>
      <c r="B10" s="34" t="n">
        <v>0.2</v>
      </c>
    </row>
    <row r="11" customFormat="false" ht="15" hidden="false" customHeight="false" outlineLevel="0" collapsed="false">
      <c r="A11" s="22" t="s">
        <v>107</v>
      </c>
      <c r="B11" s="34" t="n">
        <v>0.4</v>
      </c>
    </row>
    <row r="12" customFormat="false" ht="15" hidden="false" customHeight="false" outlineLevel="0" collapsed="false">
      <c r="A12" s="22" t="s">
        <v>108</v>
      </c>
      <c r="B12" s="34" t="n">
        <v>0.4</v>
      </c>
    </row>
    <row r="14" customFormat="false" ht="15" hidden="false" customHeight="false" outlineLevel="0" collapsed="false">
      <c r="A14" s="3" t="s">
        <v>109</v>
      </c>
    </row>
    <row r="15" customFormat="false" ht="15" hidden="false" customHeight="false" outlineLevel="0" collapsed="false">
      <c r="A15" s="22" t="s">
        <v>30</v>
      </c>
      <c r="C15" s="35" t="n">
        <v>0.3</v>
      </c>
    </row>
    <row r="16" customFormat="false" ht="15" hidden="false" customHeight="false" outlineLevel="0" collapsed="false">
      <c r="A16" s="22" t="s">
        <v>110</v>
      </c>
      <c r="C16" s="35" t="n">
        <v>0.2</v>
      </c>
    </row>
    <row r="17" customFormat="false" ht="15" hidden="false" customHeight="false" outlineLevel="0" collapsed="false">
      <c r="A17" s="22" t="s">
        <v>111</v>
      </c>
      <c r="C17" s="35" t="n">
        <v>0.05</v>
      </c>
    </row>
    <row r="20" customFormat="false" ht="15" hidden="false" customHeight="false" outlineLevel="0" collapsed="false">
      <c r="A20" s="3" t="s">
        <v>112</v>
      </c>
    </row>
    <row r="21" customFormat="false" ht="15" hidden="false" customHeight="false" outlineLevel="0" collapsed="false">
      <c r="A21" s="5" t="s">
        <v>113</v>
      </c>
    </row>
    <row r="22" customFormat="false" ht="15" hidden="false" customHeight="false" outlineLevel="0" collapsed="false">
      <c r="A22" s="5" t="s">
        <v>114</v>
      </c>
    </row>
    <row r="23" customFormat="false" ht="15" hidden="false" customHeight="false" outlineLevel="0" collapsed="false">
      <c r="A23" s="5" t="s">
        <v>115</v>
      </c>
    </row>
    <row r="24" customFormat="false" ht="15" hidden="false" customHeight="false" outlineLevel="0" collapsed="false">
      <c r="A24" s="5" t="s">
        <v>116</v>
      </c>
    </row>
    <row r="25" customFormat="false" ht="15" hidden="false" customHeight="false" outlineLevel="0" collapsed="false">
      <c r="A25" s="5" t="s">
        <v>117</v>
      </c>
    </row>
    <row r="26" customFormat="false" ht="15" hidden="false" customHeight="false" outlineLevel="0" collapsed="false">
      <c r="A26" s="5" t="s">
        <v>118</v>
      </c>
    </row>
    <row r="27" customFormat="false" ht="15" hidden="false" customHeight="false" outlineLevel="0" collapsed="false">
      <c r="A27" s="5" t="s">
        <v>119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2026-10-21T15:01:29Z</dcterms:created>
  <dc:creator>openpyxl</dc:creator>
  <dc:description/>
  <dc:language>en-US</dc:language>
  <cp:lastModifiedBy/>
  <dcterms:modified xsi:type="dcterms:W3CDTF">2026-10-21T15:01:29Z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