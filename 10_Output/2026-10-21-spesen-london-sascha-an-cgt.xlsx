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rechnung" sheetId="1" state="visible" r:id="rId3"/>
    <sheet name="Saetze 2026" sheetId="2" state="visible" r:id="rId4"/>
  </sheets>
  <definedNames>
    <definedName function="false" hidden="false" localSheetId="0" name="_xlnm.Print_Area" vbProcedure="false">Abrechnung!$A$1:$I$81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27" authorId="0">
      <text>
        <r>
          <rPr>
            <sz val="10"/>
            <rFont val="Arial"/>
            <family val="2"/>
          </rPr>
          <t xml:space="preserve">TfL bucht „Unpaid Fare“ nach, wenn beim Ein- oder Ausstieg nicht korrekt getappt wurde. Ist das eine reine Fahrpreis-Nachzahlung, ist sie absetzbar. Ist es ein Bußgeld (Penalty Fare), ist sie es nicht — dann Zeile löschen.
Bitte den TfL-Kontoauszug prüfen.</t>
        </r>
      </text>
    </comment>
    <comment ref="C28" authorId="0">
      <text>
        <r>
          <rPr>
            <sz val="10"/>
            <rFont val="Arial"/>
            <family val="2"/>
          </rPr>
          <t xml:space="preserve">OFFEN: „About Town Business Services“ ließ sich nicht eindeutig zuordnen. Wenn das keine Reisekosten waren, Zeile löschen.</t>
        </r>
      </text>
    </comment>
    <comment ref="C29" authorId="0">
      <text>
        <r>
          <rPr>
            <sz val="10"/>
            <rFont val="Arial"/>
            <family val="2"/>
          </rPr>
          <t xml:space="preserve">OFFEN: „About Town Business Services“ ließ sich nicht eindeutig zuordnen. Wenn das keine Reisekosten waren, Zeile löschen.</t>
        </r>
      </text>
    </comment>
    <comment ref="C30" authorId="0">
      <text>
        <r>
          <rPr>
            <sz val="10"/>
            <rFont val="Arial"/>
            <family val="2"/>
          </rPr>
          <t xml:space="preserve">OFFEN: „About Town Business Services“ ließ sich nicht eindeutig zuordnen. Wenn das keine Reisekosten waren, Zeile löschen.</t>
        </r>
      </text>
    </comment>
    <comment ref="D15" authorId="0">
      <text>
        <r>
          <rPr>
            <sz val="10"/>
            <rFont val="Arial"/>
            <family val="2"/>
          </rPr>
          <t xml:space="preserve">35 km einfach laut Angabe Sascha, hin und zurück also 70 km.</t>
        </r>
      </text>
    </comment>
    <comment ref="F34" authorId="0">
      <text>
        <r>
          <rPr>
            <sz val="10"/>
            <rFont val="Arial"/>
            <family val="2"/>
          </rPr>
          <t xml:space="preserve">Gestellte Mahlzeit mit „x“ markieren:
F = Frühstück, M = Mittagessen, A = Abendessen.
Dazu zählt auch das im Hotelpreis enthaltene Frühstück.</t>
        </r>
      </text>
    </comment>
    <comment ref="I61" authorId="0">
      <text>
        <r>
          <rPr>
            <sz val="10"/>
            <rFont val="Arial"/>
            <family val="2"/>
          </rPr>
          <t xml:space="preserve">Die Flüge stehen nicht in dieser Abrechnung: sie hat die Coldewey Holding GmbH gezahlt und belastet sie CGT separat weiter.</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Die Kürzung bemisst sich immer am vollen Tagessatz, auch an An- und Abreisetagen. Sie kann die Pauschale höchstens auf 0 € drücken.
Für London: Frühstück 13,20 €, Mittag- und Abendessen je 26,40 €.</t>
        </r>
      </text>
    </comment>
    <comment ref="A15" authorId="0">
      <text>
        <r>
          <rPr>
            <sz val="10"/>
            <rFont val="Arial"/>
            <family val="2"/>
          </rPr>
          <t xml:space="preserve">Nicht mit der Entfernungspauschale verwechseln: die ist ab 01.01.2026 einheitlich 0,38 €/km, gilt aber nur für den Weg Wohnung–erste Tätigkeitsstätte, nicht für Dienstreisen. Für Dienstreisen bleibt es bei 0,30 €/km.</t>
        </r>
      </text>
    </comment>
  </commentList>
</comments>
</file>

<file path=xl/sharedStrings.xml><?xml version="1.0" encoding="utf-8"?>
<sst xmlns="http://schemas.openxmlformats.org/spreadsheetml/2006/main" count="166" uniqueCount="127">
  <si>
    <t xml:space="preserve">Spesenaufstellung</t>
  </si>
  <si>
    <t xml:space="preserve">Anlage zur Rechnung · Messe London, 06.–07.10.2026 · Sätze siehe Blatt „Saetze 2026“</t>
  </si>
  <si>
    <t xml:space="preserve">Rechnung an</t>
  </si>
  <si>
    <t xml:space="preserve">CGT UG, Biebricher Allee 36, 65187 Wiesbaden</t>
  </si>
  <si>
    <t xml:space="preserve">Gelb = ausfüllen</t>
  </si>
  <si>
    <t xml:space="preserve">Von</t>
  </si>
  <si>
    <t xml:space="preserve">Sascha Elimar Coldewey, Im Zuckergarten 28, 55129 Mainz</t>
  </si>
  <si>
    <t xml:space="preserve">Weiß = rechnet sich</t>
  </si>
  <si>
    <t xml:space="preserve">Funktion</t>
  </si>
  <si>
    <t xml:space="preserve">Inhaber, CEO</t>
  </si>
  <si>
    <t xml:space="preserve">Beträge aus dem</t>
  </si>
  <si>
    <t xml:space="preserve">Rechnungsnummer</t>
  </si>
  <si>
    <t xml:space="preserve">Kontoauszug belegt.</t>
  </si>
  <si>
    <t xml:space="preserve">Reisezweck</t>
  </si>
  <si>
    <t xml:space="preserve">Messebesuch London</t>
  </si>
  <si>
    <t xml:space="preserve">Reiseziel</t>
  </si>
  <si>
    <t xml:space="preserve">London, Vereinigtes Königreich</t>
  </si>
  <si>
    <t xml:space="preserve">Reise von (Datum, Uhrzeit)</t>
  </si>
  <si>
    <t xml:space="preserve">06.10.2026, Abflug 10:00</t>
  </si>
  <si>
    <t xml:space="preserve">Reise bis (Datum, Uhrzeit)</t>
  </si>
  <si>
    <t xml:space="preserve">07.10.2026, Landung 22:05</t>
  </si>
  <si>
    <t xml:space="preserve">Abrechnung erstellt am</t>
  </si>
  <si>
    <t xml:space="preserve">21.10.2026</t>
  </si>
  <si>
    <t xml:space="preserve">A · Fahrt mit eigenem Fahrzeug</t>
  </si>
  <si>
    <t xml:space="preserve">Datum</t>
  </si>
  <si>
    <t xml:space="preserve">Strecke</t>
  </si>
  <si>
    <t xml:space="preserve">Fahrzeug</t>
  </si>
  <si>
    <t xml:space="preserve">Kilometer</t>
  </si>
  <si>
    <t xml:space="preserve">€/km</t>
  </si>
  <si>
    <t xml:space="preserve">Betrag</t>
  </si>
  <si>
    <t xml:space="preserve">06.10.2026</t>
  </si>
  <si>
    <t xml:space="preserve">Im Zuckergarten 28 → FRA Terminal 3 und zurück</t>
  </si>
  <si>
    <t xml:space="preserve">Pkw, je Kilometer</t>
  </si>
  <si>
    <t xml:space="preserve">Summe Fahrt eigenes Fahrzeug</t>
  </si>
  <si>
    <t xml:space="preserve">B · Fahrtkosten und Transport mit Beleg</t>
  </si>
  <si>
    <t xml:space="preserve">Art</t>
  </si>
  <si>
    <t xml:space="preserve">Beschreibung</t>
  </si>
  <si>
    <t xml:space="preserve">07.10.2026</t>
  </si>
  <si>
    <t xml:space="preserve">Flughafen-Parken</t>
  </si>
  <si>
    <t xml:space="preserve">Parkhaus FRA Terminal 3, 06.–07.10.</t>
  </si>
  <si>
    <t xml:space="preserve">U-Bahn London</t>
  </si>
  <si>
    <t xml:space="preserve">LUL Ticket Machine, 7,00 GBP</t>
  </si>
  <si>
    <t xml:space="preserve">TfL Nachzahlung</t>
  </si>
  <si>
    <t xml:space="preserve">TFL Unpaid Fare, 26,00 GBP — siehe Hinweis</t>
  </si>
  <si>
    <t xml:space="preserve">Nahverkehr London</t>
  </si>
  <si>
    <t xml:space="preserve">About Town Business Services, 3,15 GBP</t>
  </si>
  <si>
    <t xml:space="preserve">About Town Business Services, 2,00 GBP</t>
  </si>
  <si>
    <t xml:space="preserve">Summe Fahrtkosten mit Beleg</t>
  </si>
  <si>
    <t xml:space="preserve">C · Verpflegungsmehraufwand (Pauschale, kein Beleg nötig)</t>
  </si>
  <si>
    <t xml:space="preserve">Ort / Land</t>
  </si>
  <si>
    <t xml:space="preserve">Abwesenheit</t>
  </si>
  <si>
    <t xml:space="preserve">Pauschale</t>
  </si>
  <si>
    <t xml:space="preserve">Kürzung</t>
  </si>
  <si>
    <t xml:space="preserve">F</t>
  </si>
  <si>
    <t xml:space="preserve">M</t>
  </si>
  <si>
    <t xml:space="preserve">A</t>
  </si>
  <si>
    <t xml:space="preserve">London</t>
  </si>
  <si>
    <t xml:space="preserve">An-/Abreisetag</t>
  </si>
  <si>
    <t xml:space="preserve">Summe Verpflegungsmehraufwand</t>
  </si>
  <si>
    <t xml:space="preserve">D · Übernachtung (mit Beleg, ohne Frühstücksanteil)</t>
  </si>
  <si>
    <t xml:space="preserve">Hotel / Ort</t>
  </si>
  <si>
    <t xml:space="preserve">Beleg-Nr.</t>
  </si>
  <si>
    <t xml:space="preserve">Hotel London, Nacht 06. auf 07.10. — von der Firma direkt gezahlt, keine Auslage von Sascha</t>
  </si>
  <si>
    <t xml:space="preserve">Summe Übernachtung</t>
  </si>
  <si>
    <t xml:space="preserve">E · Sonstige Reisenebenkosten</t>
  </si>
  <si>
    <t xml:space="preserve">Einreisegenehmigung</t>
  </si>
  <si>
    <t xml:space="preserve">UKVI ETA, Pflicht für UK-Einreise</t>
  </si>
  <si>
    <t xml:space="preserve">Summe sonstige Nebenkosten</t>
  </si>
  <si>
    <t xml:space="preserve">Ergebnis</t>
  </si>
  <si>
    <t xml:space="preserve">Summe A bis E</t>
  </si>
  <si>
    <t xml:space="preserve">abzüglich Vorschuss</t>
  </si>
  <si>
    <t xml:space="preserve">abzüglich direkt von der Firma bezahlt</t>
  </si>
  <si>
    <t xml:space="preserve">Spesen netto, in die Rechnung zu übernehmen</t>
  </si>
  <si>
    <t xml:space="preserve">_______________________________</t>
  </si>
  <si>
    <t xml:space="preserve">Ort, Datum</t>
  </si>
  <si>
    <t xml:space="preserve">Unterschrift</t>
  </si>
  <si>
    <t xml:space="preserve">Offene Punkte und bewusst nicht aufgenommene Positionen</t>
  </si>
  <si>
    <t xml:space="preserve">OFFEN</t>
  </si>
  <si>
    <t xml:space="preserve">Welche Messe?</t>
  </si>
  <si>
    <t xml:space="preserve">Im Kopf steht „Messebesuch London“. Den Namen der Messe ergänzen und die Eintrittskarte oder Registrierungsbestätigung beilegen — das ist der Nachweis des betrieblichen Anlasses, nach dem eine Prüfung als Erstes fragt.</t>
  </si>
  <si>
    <t xml:space="preserve">—</t>
  </si>
  <si>
    <t xml:space="preserve">Flüge</t>
  </si>
  <si>
    <t xml:space="preserve">Nicht in dieser Abrechnung: beide Flüge (201,95 €) hat die Coldewey Holding GmbH gezahlt und belastet sie CGT separat weiter. Siehe die zweite Datei, „Weiterbelastung Flüge“.</t>
  </si>
  <si>
    <t xml:space="preserve">Umsatzsteuer</t>
  </si>
  <si>
    <t xml:space="preserve">Du stellst CGT eine Rechnung, bist also kein Angestellter, sondern Dienstleister. Weiterberechnete Spesen sind dann Teil deines Entgelts und gehören mit 19 % in die Rechnung — auch die Verpflegungspauschale und auch, wenn eine Einzelposition selbst steuerfrei war. Die 267,98 € sind deshalb als Netto zu lesen.</t>
  </si>
  <si>
    <t xml:space="preserve">Verpflegungspauschale</t>
  </si>
  <si>
    <t xml:space="preserve">88,00 € kannst du als Betriebsausgabe ansetzen, die Pauschalen gelten für Selbstständige genauso. Belege brauchst du dafür nicht, die Abwesenheitszeiten genügen.</t>
  </si>
  <si>
    <t xml:space="preserve">Hotel</t>
  </si>
  <si>
    <t xml:space="preserve">Von der Firma direkt gezahlt, daher nicht in dieser Abrechnung. War Frühstück im Preis, kürzt sich die Verpflegungspauschale um 13,20 € — dann in Block C Zeile 41 ein „x“ in Spalte F setzen.</t>
  </si>
  <si>
    <t xml:space="preserve">TfL 30,68 €</t>
  </si>
  <si>
    <t xml:space="preserve">„Unpaid Fare“: Fahrpreis-Nachzahlung ist absetzbar, ein Bußgeld nicht. Prüfen.</t>
  </si>
  <si>
    <t xml:space="preserve">About Town</t>
  </si>
  <si>
    <t xml:space="preserve">3 Buchungen über zusammen 9,81 € nicht eindeutig zuzuordnen. Prüfen.</t>
  </si>
  <si>
    <t xml:space="preserve">UPS-Einfuhrabgaben</t>
  </si>
  <si>
    <t xml:space="preserve">11,23 €, Paket zugestellt am 26.08.2026 — sechs Wochen vor dieser Reise und ohne Bezug zu ihr. Gehört nicht in die Reisekostenabrechnung, sondern als eigene Betriebsausgabe gebucht, falls die Sendung betrieblich war. Im privaten Kontoauszug ist die Zahlung nicht zu finden.</t>
  </si>
  <si>
    <t xml:space="preserve">Essen in London</t>
  </si>
  <si>
    <t xml:space="preserve">Pret a Manger, Costa, Nazari Food, WH Smith: zusammen 43,74 €. Wird NICHT zusätzlich erstattet, die Verpflegungspauschale deckt das ab. Die Pauschale von 88 € liegt deutlich darüber.</t>
  </si>
  <si>
    <t xml:space="preserve">Belegdaten</t>
  </si>
  <si>
    <t xml:space="preserve">Die Daten in den Blöcken B und E sind die Kauftage. Im Kontoauszug stehen sie ein bis zwei Tage später, weil der Händler den Kartenumsatz erst dann einreicht. Deshalb sah der Auszug zunächst nach 07.–08.10. aus.</t>
  </si>
  <si>
    <t xml:space="preserve">Vorsteuer Flüge</t>
  </si>
  <si>
    <t xml:space="preserve">Grenzüberschreitende Flüge sind in Deutschland nicht umsatzsteuerpflichtig. Aus den 201,95 € ist keine Vorsteuer zu ziehen.</t>
  </si>
  <si>
    <t xml:space="preserve">Pauschalen 2026</t>
  </si>
  <si>
    <t xml:space="preserve">Diese Werte steuern die Formeln im Blatt „Abrechnung“. Ändern sich die Sätze, nur hier anfassen.</t>
  </si>
  <si>
    <t xml:space="preserve">Schlüssel</t>
  </si>
  <si>
    <t xml:space="preserve">voller Tag (24 h)</t>
  </si>
  <si>
    <t xml:space="preserve">über 8 h</t>
  </si>
  <si>
    <t xml:space="preserve">unter 8 h</t>
  </si>
  <si>
    <t xml:space="preserve">Übernachtung ohne Beleg</t>
  </si>
  <si>
    <t xml:space="preserve">Deutschland (Inland)</t>
  </si>
  <si>
    <t xml:space="preserve">Inland</t>
  </si>
  <si>
    <t xml:space="preserve">Vereinigtes Königreich übrig</t>
  </si>
  <si>
    <t xml:space="preserve">Großbritannien</t>
  </si>
  <si>
    <t xml:space="preserve">Kürzung bei gestellter Mahlzeit — Anteil vom vollen Tagessatz des jeweiligen Ortes</t>
  </si>
  <si>
    <t xml:space="preserve">Frühstück</t>
  </si>
  <si>
    <t xml:space="preserve">Mittagessen</t>
  </si>
  <si>
    <t xml:space="preserve">Abendessen</t>
  </si>
  <si>
    <t xml:space="preserve">Fahrtkosten eigenes Fahrzeug (Dienstreise)</t>
  </si>
  <si>
    <t xml:space="preserve">Motorrad / Moped, je Kilometer</t>
  </si>
  <si>
    <t xml:space="preserve">Fahrrad, je Kilometer</t>
  </si>
  <si>
    <t xml:space="preserve">Quellen und Vorbehalte</t>
  </si>
  <si>
    <t xml:space="preserve">Inland 28 €/14 €: § 9 Abs. 4a EStG, für 2026 unverändert.</t>
  </si>
  <si>
    <t xml:space="preserve">London 66 €/44 €, Übernachtung 163 €: BMF-Schreiben vom 05.12.2025 zu Auslandsreisekosten ab 01.01.2026.</t>
  </si>
  <si>
    <t xml:space="preserve">   Übereinstimmend aus mehreren Sekundärquellen; vor Einreichung gegen die amtliche BMF-Tabelle prüfen.</t>
  </si>
  <si>
    <t xml:space="preserve">Kilometersatz Dienstreise Pkw 0,30 €/km: für 2026 unverändert.</t>
  </si>
  <si>
    <t xml:space="preserve">Entfernungspauschale ab 2026 einheitlich 0,38 €/km — betrifft diese Abrechnung NICHT.</t>
  </si>
  <si>
    <t xml:space="preserve">Übernachtungspauschale ohne Beleg: nur für die steuerfreie Arbeitgeber-Erstattung,</t>
  </si>
  <si>
    <t xml:space="preserve">   nicht für den Betriebsausgabenabzug. Vor Nutzung mit dem Steuerberater klären.</t>
  </si>
</sst>
</file>

<file path=xl/styles.xml><?xml version="1.0" encoding="utf-8"?>
<styleSheet xmlns="http://schemas.openxmlformats.org/spreadsheetml/2006/main">
  <numFmts count="6">
    <numFmt numFmtId="164" formatCode="General"/>
    <numFmt numFmtId="165" formatCode="&quot;TT.&quot;mm&quot;.JJJJ&quot;"/>
    <numFmt numFmtId="166" formatCode="#,##0"/>
    <numFmt numFmtId="167" formatCode="0.00&quot; €&quot;"/>
    <numFmt numFmtId="168" formatCode="#,##0.00&quot; €&quot;;\-#,##0.00&quot; €&quot;;\-"/>
    <numFmt numFmtId="169" formatCode="0\ %"/>
  </numFmts>
  <fonts count="15">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8"/>
      <color rgb="FF595959"/>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b val="true"/>
      <sz val="9"/>
      <name val="Arial"/>
      <family val="0"/>
      <charset val="1"/>
    </font>
    <font>
      <sz val="10"/>
      <name val="Arial"/>
      <family val="0"/>
      <charset val="1"/>
    </font>
    <font>
      <sz val="10"/>
      <color rgb="FFC00000"/>
      <name val="Arial"/>
      <family val="0"/>
      <charset val="1"/>
    </font>
    <font>
      <b val="true"/>
      <sz val="12"/>
      <name val="Arial"/>
      <family val="0"/>
      <charset val="1"/>
    </font>
    <font>
      <b val="true"/>
      <sz val="9"/>
      <color rgb="FFC00000"/>
      <name val="Arial"/>
      <family val="0"/>
      <charset val="1"/>
    </font>
    <font>
      <sz val="10"/>
      <name val="Arial"/>
      <family val="2"/>
    </font>
  </fonts>
  <fills count="8">
    <fill>
      <patternFill patternType="none"/>
    </fill>
    <fill>
      <patternFill patternType="gray125"/>
    </fill>
    <fill>
      <patternFill patternType="solid">
        <fgColor rgb="FFFFFF99"/>
        <bgColor rgb="FFF2F2F2"/>
      </patternFill>
    </fill>
    <fill>
      <patternFill patternType="solid">
        <fgColor rgb="FF2F4F4F"/>
        <bgColor rgb="FF595959"/>
      </patternFill>
    </fill>
    <fill>
      <patternFill patternType="solid">
        <fgColor rgb="FFE8E8E8"/>
        <bgColor rgb="FFF2F2F2"/>
      </patternFill>
    </fill>
    <fill>
      <patternFill patternType="solid">
        <fgColor rgb="FFF2F2F2"/>
        <bgColor rgb="FFE8E8E8"/>
      </patternFill>
    </fill>
    <fill>
      <patternFill patternType="solid">
        <fgColor rgb="FFD9E1D9"/>
        <bgColor rgb="FFE8E8E8"/>
      </patternFill>
    </fill>
    <fill>
      <patternFill patternType="solid">
        <fgColor rgb="FFFCE4E4"/>
        <bgColor rgb="FFE8E8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left"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8" fontId="12" fillId="6" borderId="1" xfId="0" applyFont="true" applyBorder="true" applyAlignment="false" applyProtection="false">
      <alignment horizontal="general" vertical="bottom" textRotation="0" wrapText="false" indent="0" shrinkToFit="false"/>
      <protection locked="true" hidden="false"/>
    </xf>
    <xf numFmtId="164" fontId="13" fillId="7" borderId="0" xfId="0" applyFont="true" applyBorder="false" applyAlignment="true" applyProtection="false">
      <alignment horizontal="center" vertical="top" textRotation="0" wrapText="false" indent="0" shrinkToFit="false"/>
      <protection locked="true" hidden="false"/>
    </xf>
    <xf numFmtId="164" fontId="6" fillId="7" borderId="0" xfId="0" applyFont="true" applyBorder="false" applyAlignment="true" applyProtection="false">
      <alignment horizontal="general" vertical="top" textRotation="0" wrapText="false" indent="0" shrinkToFit="false"/>
      <protection locked="true" hidden="false"/>
    </xf>
    <xf numFmtId="164" fontId="10" fillId="7"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E8E8"/>
      <rgbColor rgb="FF660066"/>
      <rgbColor rgb="FFFF8080"/>
      <rgbColor rgb="FF0066CC"/>
      <rgbColor rgb="FFD9E1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20"/>
    <col collapsed="false" customWidth="true" hidden="false" outlineLevel="0" max="4" min="4" style="0" width="12"/>
    <col collapsed="false" customWidth="true" hidden="false" outlineLevel="0" max="5" min="5" style="0" width="10"/>
    <col collapsed="false" customWidth="true" hidden="false" outlineLevel="0" max="8" min="6" style="0" width="5"/>
    <col collapsed="false" customWidth="true" hidden="false" outlineLevel="0" max="9" min="9" style="0" width="13"/>
  </cols>
  <sheetData>
    <row r="1" customFormat="false" ht="19.7" hidden="false" customHeight="false" outlineLevel="0" collapsed="false">
      <c r="A1" s="1" t="s">
        <v>0</v>
      </c>
      <c r="B1" s="1"/>
      <c r="C1" s="1"/>
      <c r="D1" s="1"/>
      <c r="E1" s="1"/>
      <c r="F1" s="1"/>
      <c r="G1" s="1"/>
      <c r="H1" s="1"/>
      <c r="I1" s="1"/>
    </row>
    <row r="2" customFormat="false" ht="15" hidden="false" customHeight="false" outlineLevel="0" collapsed="false">
      <c r="A2" s="2" t="s">
        <v>1</v>
      </c>
      <c r="B2" s="2"/>
      <c r="C2" s="2"/>
      <c r="D2" s="2"/>
      <c r="E2" s="2"/>
      <c r="F2" s="2"/>
      <c r="G2" s="2"/>
      <c r="H2" s="2"/>
      <c r="I2" s="2"/>
    </row>
    <row r="4" customFormat="false" ht="15" hidden="false" customHeight="false" outlineLevel="0" collapsed="false">
      <c r="A4" s="3" t="s">
        <v>2</v>
      </c>
      <c r="B4" s="4" t="s">
        <v>3</v>
      </c>
      <c r="C4" s="4"/>
      <c r="D4" s="4"/>
      <c r="E4" s="4"/>
      <c r="G4" s="5" t="s">
        <v>4</v>
      </c>
    </row>
    <row r="5" customFormat="false" ht="15" hidden="false" customHeight="false" outlineLevel="0" collapsed="false">
      <c r="A5" s="3" t="s">
        <v>5</v>
      </c>
      <c r="B5" s="4" t="s">
        <v>6</v>
      </c>
      <c r="C5" s="4"/>
      <c r="D5" s="4"/>
      <c r="E5" s="4"/>
      <c r="G5" s="5" t="s">
        <v>7</v>
      </c>
    </row>
    <row r="6" customFormat="false" ht="15" hidden="false" customHeight="false" outlineLevel="0" collapsed="false">
      <c r="A6" s="3" t="s">
        <v>8</v>
      </c>
      <c r="B6" s="4" t="s">
        <v>9</v>
      </c>
      <c r="C6" s="4"/>
      <c r="D6" s="4"/>
      <c r="E6" s="4"/>
      <c r="G6" s="2" t="s">
        <v>10</v>
      </c>
      <c r="H6" s="2"/>
      <c r="I6" s="2"/>
    </row>
    <row r="7" customFormat="false" ht="15" hidden="false" customHeight="false" outlineLevel="0" collapsed="false">
      <c r="A7" s="3" t="s">
        <v>11</v>
      </c>
      <c r="B7" s="4"/>
      <c r="C7" s="4"/>
      <c r="D7" s="4"/>
      <c r="E7" s="4"/>
      <c r="G7" s="2" t="s">
        <v>12</v>
      </c>
      <c r="H7" s="2"/>
      <c r="I7" s="2"/>
    </row>
    <row r="8" customFormat="false" ht="15" hidden="false" customHeight="false" outlineLevel="0" collapsed="false">
      <c r="A8" s="3" t="s">
        <v>13</v>
      </c>
      <c r="B8" s="4" t="s">
        <v>14</v>
      </c>
      <c r="C8" s="4"/>
      <c r="D8" s="4"/>
      <c r="E8" s="4"/>
    </row>
    <row r="9" customFormat="false" ht="15" hidden="false" customHeight="false" outlineLevel="0" collapsed="false">
      <c r="A9" s="3" t="s">
        <v>15</v>
      </c>
      <c r="B9" s="4" t="s">
        <v>16</v>
      </c>
      <c r="C9" s="4"/>
      <c r="D9" s="4"/>
      <c r="E9" s="4"/>
    </row>
    <row r="10" customFormat="false" ht="15" hidden="false" customHeight="false" outlineLevel="0" collapsed="false">
      <c r="A10" s="3" t="s">
        <v>17</v>
      </c>
      <c r="B10" s="4" t="s">
        <v>18</v>
      </c>
      <c r="C10" s="4"/>
      <c r="D10" s="4"/>
      <c r="E10" s="4"/>
    </row>
    <row r="11" customFormat="false" ht="15" hidden="false" customHeight="false" outlineLevel="0" collapsed="false">
      <c r="A11" s="3" t="s">
        <v>19</v>
      </c>
      <c r="B11" s="4" t="s">
        <v>20</v>
      </c>
      <c r="C11" s="4"/>
      <c r="D11" s="4"/>
      <c r="E11" s="4"/>
    </row>
    <row r="12" customFormat="false" ht="15" hidden="false" customHeight="false" outlineLevel="0" collapsed="false">
      <c r="A12" s="3" t="s">
        <v>21</v>
      </c>
      <c r="B12" s="4" t="s">
        <v>22</v>
      </c>
      <c r="C12" s="4"/>
      <c r="D12" s="4"/>
      <c r="E12" s="4"/>
    </row>
    <row r="13" customFormat="false" ht="19.5" hidden="false" customHeight="true" outlineLevel="0" collapsed="false">
      <c r="A13" s="6" t="s">
        <v>23</v>
      </c>
      <c r="B13" s="6"/>
      <c r="C13" s="6"/>
      <c r="D13" s="6"/>
      <c r="E13" s="6"/>
      <c r="F13" s="6"/>
      <c r="G13" s="6"/>
      <c r="H13" s="6"/>
      <c r="I13" s="6"/>
    </row>
    <row r="14" customFormat="false" ht="24" hidden="false" customHeight="true" outlineLevel="0" collapsed="false">
      <c r="A14" s="7" t="s">
        <v>24</v>
      </c>
      <c r="B14" s="7" t="s">
        <v>25</v>
      </c>
      <c r="C14" s="7" t="s">
        <v>26</v>
      </c>
      <c r="D14" s="7" t="s">
        <v>27</v>
      </c>
      <c r="E14" s="7" t="s">
        <v>28</v>
      </c>
      <c r="I14" s="7" t="s">
        <v>29</v>
      </c>
    </row>
    <row r="15" customFormat="false" ht="15" hidden="false" customHeight="false" outlineLevel="0" collapsed="false">
      <c r="A15" s="8" t="s">
        <v>30</v>
      </c>
      <c r="B15" s="4" t="s">
        <v>31</v>
      </c>
      <c r="C15" s="4" t="s">
        <v>32</v>
      </c>
      <c r="D15" s="9" t="n">
        <v>70</v>
      </c>
      <c r="E15" s="10" t="n">
        <f aca="false">IF($D15="","",IFERROR(INDEX('Saetze 2026'!$C$15:$C$17,MATCH($C15,'Saetze 2026'!$A$15:$A$17,0)),'Saetze 2026'!$C$15))</f>
        <v>0.3</v>
      </c>
      <c r="F15" s="10"/>
      <c r="G15" s="10"/>
      <c r="H15" s="10"/>
      <c r="I15" s="11" t="n">
        <f aca="false">IF($D15="","",$D15*$E15)</f>
        <v>21</v>
      </c>
    </row>
    <row r="16" customFormat="false" ht="15" hidden="false" customHeight="false" outlineLevel="0" collapsed="false">
      <c r="A16" s="8"/>
      <c r="B16" s="4"/>
      <c r="C16" s="4"/>
      <c r="D16" s="9"/>
      <c r="E16" s="10" t="str">
        <f aca="false">IF($D16="","",IFERROR(INDEX('Saetze 2026'!$C$15:$C$17,MATCH($C16,'Saetze 2026'!$A$15:$A$17,0)),'Saetze 2026'!$C$15))</f>
        <v/>
      </c>
      <c r="F16" s="10"/>
      <c r="G16" s="10"/>
      <c r="H16" s="10"/>
      <c r="I16" s="11" t="str">
        <f aca="false">IF($D16="","",$D16*$E16)</f>
        <v/>
      </c>
    </row>
    <row r="17" customFormat="false" ht="15" hidden="false" customHeight="false" outlineLevel="0" collapsed="false">
      <c r="A17" s="8"/>
      <c r="B17" s="4"/>
      <c r="C17" s="4"/>
      <c r="D17" s="9"/>
      <c r="E17" s="10" t="str">
        <f aca="false">IF($D17="","",IFERROR(INDEX('Saetze 2026'!$C$15:$C$17,MATCH($C17,'Saetze 2026'!$A$15:$A$17,0)),'Saetze 2026'!$C$15))</f>
        <v/>
      </c>
      <c r="F17" s="10"/>
      <c r="G17" s="10"/>
      <c r="H17" s="10"/>
      <c r="I17" s="11" t="str">
        <f aca="false">IF($D17="","",$D17*$E17)</f>
        <v/>
      </c>
    </row>
    <row r="18" customFormat="false" ht="15" hidden="false" customHeight="false" outlineLevel="0" collapsed="false">
      <c r="A18" s="8"/>
      <c r="B18" s="4"/>
      <c r="C18" s="4"/>
      <c r="D18" s="9"/>
      <c r="E18" s="10" t="str">
        <f aca="false">IF($D18="","",IFERROR(INDEX('Saetze 2026'!$C$15:$C$17,MATCH($C18,'Saetze 2026'!$A$15:$A$17,0)),'Saetze 2026'!$C$15))</f>
        <v/>
      </c>
      <c r="F18" s="10"/>
      <c r="G18" s="10"/>
      <c r="H18" s="10"/>
      <c r="I18" s="11" t="str">
        <f aca="false">IF($D18="","",$D18*$E18)</f>
        <v/>
      </c>
    </row>
    <row r="19" customFormat="false" ht="15" hidden="false" customHeight="false" outlineLevel="0" collapsed="false">
      <c r="A19" s="12"/>
      <c r="B19" s="13" t="s">
        <v>33</v>
      </c>
      <c r="C19" s="12"/>
      <c r="D19" s="12"/>
      <c r="E19" s="12"/>
      <c r="F19" s="12"/>
      <c r="G19" s="12"/>
      <c r="H19" s="12"/>
      <c r="I19" s="14" t="n">
        <f aca="false">SUM(I15:I18)</f>
        <v>21</v>
      </c>
    </row>
    <row r="21" customFormat="false" ht="19.5" hidden="false" customHeight="true" outlineLevel="0" collapsed="false">
      <c r="A21" s="6" t="s">
        <v>34</v>
      </c>
      <c r="B21" s="6"/>
      <c r="C21" s="6"/>
      <c r="D21" s="6"/>
      <c r="E21" s="6"/>
      <c r="F21" s="6"/>
      <c r="G21" s="6"/>
      <c r="H21" s="6"/>
      <c r="I21" s="6"/>
    </row>
    <row r="22" customFormat="false" ht="24" hidden="false" customHeight="true" outlineLevel="0" collapsed="false">
      <c r="A22" s="7" t="s">
        <v>24</v>
      </c>
      <c r="B22" s="7" t="s">
        <v>35</v>
      </c>
      <c r="C22" s="7" t="s">
        <v>36</v>
      </c>
      <c r="I22" s="7" t="s">
        <v>29</v>
      </c>
    </row>
    <row r="23" customFormat="false" ht="15" hidden="false" customHeight="false" outlineLevel="0" collapsed="false">
      <c r="A23" s="8" t="s">
        <v>37</v>
      </c>
      <c r="B23" s="4" t="s">
        <v>38</v>
      </c>
      <c r="C23" s="4" t="s">
        <v>39</v>
      </c>
      <c r="D23" s="15"/>
      <c r="E23" s="15"/>
      <c r="F23" s="15"/>
      <c r="G23" s="15"/>
      <c r="H23" s="15"/>
      <c r="I23" s="16" t="n">
        <v>86</v>
      </c>
    </row>
    <row r="24" customFormat="false" ht="15" hidden="false" customHeight="false" outlineLevel="0" collapsed="false">
      <c r="A24" s="8" t="s">
        <v>37</v>
      </c>
      <c r="B24" s="4" t="s">
        <v>40</v>
      </c>
      <c r="C24" s="4" t="s">
        <v>41</v>
      </c>
      <c r="D24" s="15"/>
      <c r="E24" s="15"/>
      <c r="F24" s="15"/>
      <c r="G24" s="15"/>
      <c r="H24" s="15"/>
      <c r="I24" s="16" t="n">
        <v>8.26</v>
      </c>
    </row>
    <row r="25" customFormat="false" ht="15" hidden="false" customHeight="false" outlineLevel="0" collapsed="false">
      <c r="A25" s="8" t="s">
        <v>37</v>
      </c>
      <c r="B25" s="4" t="s">
        <v>42</v>
      </c>
      <c r="C25" s="4" t="s">
        <v>43</v>
      </c>
      <c r="D25" s="15"/>
      <c r="E25" s="15"/>
      <c r="F25" s="15"/>
      <c r="G25" s="15"/>
      <c r="H25" s="15"/>
      <c r="I25" s="16" t="n">
        <v>30.68</v>
      </c>
    </row>
    <row r="26" customFormat="false" ht="15" hidden="false" customHeight="false" outlineLevel="0" collapsed="false">
      <c r="A26" s="8" t="s">
        <v>30</v>
      </c>
      <c r="B26" s="4" t="s">
        <v>44</v>
      </c>
      <c r="C26" s="4" t="s">
        <v>45</v>
      </c>
      <c r="D26" s="15"/>
      <c r="E26" s="15"/>
      <c r="F26" s="15"/>
      <c r="G26" s="15"/>
      <c r="H26" s="15"/>
      <c r="I26" s="16" t="n">
        <v>3.73</v>
      </c>
    </row>
    <row r="27" customFormat="false" ht="15" hidden="false" customHeight="false" outlineLevel="0" collapsed="false">
      <c r="A27" s="8" t="s">
        <v>37</v>
      </c>
      <c r="B27" s="17" t="s">
        <v>44</v>
      </c>
      <c r="C27" s="4" t="s">
        <v>45</v>
      </c>
      <c r="D27" s="15"/>
      <c r="E27" s="15"/>
      <c r="F27" s="15"/>
      <c r="G27" s="15"/>
      <c r="H27" s="15"/>
      <c r="I27" s="16" t="n">
        <v>3.72</v>
      </c>
    </row>
    <row r="28" customFormat="false" ht="15" hidden="false" customHeight="false" outlineLevel="0" collapsed="false">
      <c r="A28" s="8" t="s">
        <v>37</v>
      </c>
      <c r="B28" s="4" t="s">
        <v>44</v>
      </c>
      <c r="C28" s="4" t="s">
        <v>46</v>
      </c>
      <c r="D28" s="15"/>
      <c r="E28" s="15"/>
      <c r="F28" s="15"/>
      <c r="G28" s="15"/>
      <c r="H28" s="15"/>
      <c r="I28" s="16" t="n">
        <v>2.36</v>
      </c>
    </row>
    <row r="29" customFormat="false" ht="15" hidden="false" customHeight="false" outlineLevel="0" collapsed="false">
      <c r="A29" s="8"/>
      <c r="B29" s="4"/>
      <c r="C29" s="4"/>
      <c r="D29" s="15"/>
      <c r="E29" s="15"/>
      <c r="F29" s="15"/>
      <c r="G29" s="15"/>
      <c r="H29" s="15"/>
      <c r="I29" s="16"/>
    </row>
    <row r="30" customFormat="false" ht="15" hidden="false" customHeight="false" outlineLevel="0" collapsed="false">
      <c r="A30" s="8"/>
      <c r="B30" s="4"/>
      <c r="C30" s="4"/>
      <c r="D30" s="15"/>
      <c r="E30" s="15"/>
      <c r="F30" s="15"/>
      <c r="G30" s="15"/>
      <c r="H30" s="15"/>
      <c r="I30" s="16"/>
    </row>
    <row r="31" customFormat="false" ht="15" hidden="false" customHeight="false" outlineLevel="0" collapsed="false">
      <c r="A31" s="12"/>
      <c r="B31" s="13" t="s">
        <v>47</v>
      </c>
      <c r="C31" s="12"/>
      <c r="D31" s="12"/>
      <c r="E31" s="12"/>
      <c r="F31" s="12"/>
      <c r="G31" s="12"/>
      <c r="H31" s="12"/>
      <c r="I31" s="14" t="n">
        <f aca="false">SUM(I23:I30)</f>
        <v>134.75</v>
      </c>
    </row>
    <row r="33" customFormat="false" ht="19.5" hidden="false" customHeight="true" outlineLevel="0" collapsed="false">
      <c r="A33" s="6" t="s">
        <v>48</v>
      </c>
      <c r="B33" s="6"/>
      <c r="C33" s="6"/>
      <c r="D33" s="6"/>
      <c r="E33" s="6"/>
      <c r="F33" s="6"/>
      <c r="G33" s="6"/>
      <c r="H33" s="6"/>
      <c r="I33" s="6"/>
    </row>
    <row r="34" customFormat="false" ht="24" hidden="false" customHeight="true" outlineLevel="0" collapsed="false">
      <c r="A34" s="7" t="s">
        <v>24</v>
      </c>
      <c r="B34" s="7" t="s">
        <v>49</v>
      </c>
      <c r="C34" s="7" t="s">
        <v>50</v>
      </c>
      <c r="D34" s="7" t="s">
        <v>51</v>
      </c>
      <c r="E34" s="7" t="s">
        <v>52</v>
      </c>
      <c r="F34" s="7" t="s">
        <v>53</v>
      </c>
      <c r="G34" s="7" t="s">
        <v>54</v>
      </c>
      <c r="H34" s="7" t="s">
        <v>55</v>
      </c>
      <c r="I34" s="7" t="s">
        <v>29</v>
      </c>
    </row>
    <row r="35" customFormat="false" ht="15" hidden="false" customHeight="false" outlineLevel="0" collapsed="false">
      <c r="A35" s="8" t="s">
        <v>30</v>
      </c>
      <c r="B35" s="4" t="s">
        <v>56</v>
      </c>
      <c r="C35" s="4" t="s">
        <v>57</v>
      </c>
      <c r="D35" s="11" t="n">
        <f aca="false">IF($A35="","",IFERROR(INDEX('Saetze 2026'!$C$5:$F$7,MATCH($B35,'Saetze 2026'!$B$5:$B$7,0),MATCH($C35,'Saetze 2026'!$C$4:$F$4,0)),0))</f>
        <v>44</v>
      </c>
      <c r="E35" s="11" t="n">
        <f aca="false">IF($A35="","",IFERROR(INDEX('Saetze 2026'!$C$5:$C$7,MATCH($B35,'Saetze 2026'!$B$5:$B$7,0)),0)*(IF(LOWER($F35)="x",'Saetze 2026'!$B$10,0)+IF(LOWER($G35)="x",'Saetze 2026'!$B$11,0)+IF(LOWER($H35)="x",'Saetze 2026'!$B$12,0)))</f>
        <v>0</v>
      </c>
      <c r="F35" s="18"/>
      <c r="G35" s="18"/>
      <c r="H35" s="18"/>
      <c r="I35" s="11" t="n">
        <f aca="false">IF($A35="","",MAX(0,$D35-$E35))</f>
        <v>44</v>
      </c>
    </row>
    <row r="36" customFormat="false" ht="15" hidden="false" customHeight="false" outlineLevel="0" collapsed="false">
      <c r="A36" s="8" t="s">
        <v>37</v>
      </c>
      <c r="B36" s="4" t="s">
        <v>56</v>
      </c>
      <c r="C36" s="4" t="s">
        <v>57</v>
      </c>
      <c r="D36" s="11" t="n">
        <f aca="false">IF($A36="","",IFERROR(INDEX('Saetze 2026'!$C$5:$F$7,MATCH($B36,'Saetze 2026'!$B$5:$B$7,0),MATCH($C36,'Saetze 2026'!$C$4:$F$4,0)),0))</f>
        <v>44</v>
      </c>
      <c r="E36" s="11" t="n">
        <f aca="false">IF($A36="","",IFERROR(INDEX('Saetze 2026'!$C$5:$C$7,MATCH($B36,'Saetze 2026'!$B$5:$B$7,0)),0)*(IF(LOWER($F36)="x",'Saetze 2026'!$B$10,0)+IF(LOWER($G36)="x",'Saetze 2026'!$B$11,0)+IF(LOWER($H36)="x",'Saetze 2026'!$B$12,0)))</f>
        <v>0</v>
      </c>
      <c r="F36" s="18"/>
      <c r="G36" s="18"/>
      <c r="H36" s="18"/>
      <c r="I36" s="11" t="n">
        <f aca="false">IF($A36="","",MAX(0,$D36-$E36))</f>
        <v>44</v>
      </c>
    </row>
    <row r="37" customFormat="false" ht="15" hidden="false" customHeight="false" outlineLevel="0" collapsed="false">
      <c r="A37" s="8"/>
      <c r="B37" s="4"/>
      <c r="C37" s="4"/>
      <c r="D37" s="11" t="str">
        <f aca="false">IF($A37="","",IFERROR(INDEX('Saetze 2026'!$C$5:$F$7,MATCH($B37,'Saetze 2026'!$B$5:$B$7,0),MATCH($C37,'Saetze 2026'!$C$4:$F$4,0)),0))</f>
        <v/>
      </c>
      <c r="E37" s="11" t="str">
        <f aca="false">IF($A37="","",IFERROR(INDEX('Saetze 2026'!$C$5:$C$7,MATCH($B37,'Saetze 2026'!$B$5:$B$7,0)),0)*(IF(LOWER($F37)="x",'Saetze 2026'!$B$10,0)+IF(LOWER($G37)="x",'Saetze 2026'!$B$11,0)+IF(LOWER($H37)="x",'Saetze 2026'!$B$12,0)))</f>
        <v/>
      </c>
      <c r="F37" s="18"/>
      <c r="G37" s="18"/>
      <c r="H37" s="18"/>
      <c r="I37" s="11" t="str">
        <f aca="false">IF($A37="","",MAX(0,$D37-$E37))</f>
        <v/>
      </c>
    </row>
    <row r="38" customFormat="false" ht="15" hidden="false" customHeight="false" outlineLevel="0" collapsed="false">
      <c r="A38" s="8"/>
      <c r="B38" s="4"/>
      <c r="C38" s="4"/>
      <c r="D38" s="11" t="str">
        <f aca="false">IF($A38="","",IFERROR(INDEX('Saetze 2026'!$C$5:$F$7,MATCH($B38,'Saetze 2026'!$B$5:$B$7,0),MATCH($C38,'Saetze 2026'!$C$4:$F$4,0)),0))</f>
        <v/>
      </c>
      <c r="E38" s="11" t="str">
        <f aca="false">IF($A38="","",IFERROR(INDEX('Saetze 2026'!$C$5:$C$7,MATCH($B38,'Saetze 2026'!$B$5:$B$7,0)),0)*(IF(LOWER($F38)="x",'Saetze 2026'!$B$10,0)+IF(LOWER($G38)="x",'Saetze 2026'!$B$11,0)+IF(LOWER($H38)="x",'Saetze 2026'!$B$12,0)))</f>
        <v/>
      </c>
      <c r="F38" s="18"/>
      <c r="G38" s="18"/>
      <c r="H38" s="18"/>
      <c r="I38" s="11" t="str">
        <f aca="false">IF($A38="","",MAX(0,$D38-$E38))</f>
        <v/>
      </c>
    </row>
    <row r="39" customFormat="false" ht="15" hidden="false" customHeight="false" outlineLevel="0" collapsed="false">
      <c r="A39" s="8"/>
      <c r="B39" s="4"/>
      <c r="C39" s="4"/>
      <c r="D39" s="11" t="str">
        <f aca="false">IF($A39="","",IFERROR(INDEX('Saetze 2026'!$C$5:$F$7,MATCH($B39,'Saetze 2026'!$B$5:$B$7,0),MATCH($C39,'Saetze 2026'!$C$4:$F$4,0)),0))</f>
        <v/>
      </c>
      <c r="E39" s="11" t="str">
        <f aca="false">IF($A39="","",IFERROR(INDEX('Saetze 2026'!$C$5:$C$7,MATCH($B39,'Saetze 2026'!$B$5:$B$7,0)),0)*(IF(LOWER($F39)="x",'Saetze 2026'!$B$10,0)+IF(LOWER($G39)="x",'Saetze 2026'!$B$11,0)+IF(LOWER($H39)="x",'Saetze 2026'!$B$12,0)))</f>
        <v/>
      </c>
      <c r="F39" s="18"/>
      <c r="G39" s="18"/>
      <c r="H39" s="18"/>
      <c r="I39" s="11" t="str">
        <f aca="false">IF($A39="","",MAX(0,$D39-$E39))</f>
        <v/>
      </c>
    </row>
    <row r="40" customFormat="false" ht="15" hidden="false" customHeight="false" outlineLevel="0" collapsed="false">
      <c r="A40" s="8"/>
      <c r="B40" s="4"/>
      <c r="C40" s="4"/>
      <c r="D40" s="11" t="str">
        <f aca="false">IF($A40="","",IFERROR(INDEX('Saetze 2026'!$C$5:$F$7,MATCH($B40,'Saetze 2026'!$B$5:$B$7,0),MATCH($C40,'Saetze 2026'!$C$4:$F$4,0)),0))</f>
        <v/>
      </c>
      <c r="E40" s="11" t="str">
        <f aca="false">IF($A40="","",IFERROR(INDEX('Saetze 2026'!$C$5:$C$7,MATCH($B40,'Saetze 2026'!$B$5:$B$7,0)),0)*(IF(LOWER($F40)="x",'Saetze 2026'!$B$10,0)+IF(LOWER($G40)="x",'Saetze 2026'!$B$11,0)+IF(LOWER($H40)="x",'Saetze 2026'!$B$12,0)))</f>
        <v/>
      </c>
      <c r="F40" s="18"/>
      <c r="G40" s="18"/>
      <c r="H40" s="18"/>
      <c r="I40" s="11" t="str">
        <f aca="false">IF($A40="","",MAX(0,$D40-$E40))</f>
        <v/>
      </c>
    </row>
    <row r="41" customFormat="false" ht="15" hidden="false" customHeight="false" outlineLevel="0" collapsed="false">
      <c r="A41" s="12"/>
      <c r="B41" s="13" t="s">
        <v>58</v>
      </c>
      <c r="C41" s="12"/>
      <c r="D41" s="12"/>
      <c r="E41" s="12"/>
      <c r="F41" s="12"/>
      <c r="G41" s="12"/>
      <c r="H41" s="12"/>
      <c r="I41" s="14" t="n">
        <f aca="false">SUM(I35:I40)</f>
        <v>88</v>
      </c>
    </row>
    <row r="43" customFormat="false" ht="19.5" hidden="false" customHeight="true" outlineLevel="0" collapsed="false">
      <c r="A43" s="6" t="s">
        <v>59</v>
      </c>
      <c r="B43" s="6"/>
      <c r="C43" s="6"/>
      <c r="D43" s="6"/>
      <c r="E43" s="6"/>
      <c r="F43" s="6"/>
      <c r="G43" s="6"/>
      <c r="H43" s="6"/>
      <c r="I43" s="6"/>
    </row>
    <row r="44" customFormat="false" ht="24" hidden="false" customHeight="true" outlineLevel="0" collapsed="false">
      <c r="A44" s="7" t="s">
        <v>24</v>
      </c>
      <c r="B44" s="7" t="s">
        <v>60</v>
      </c>
      <c r="C44" s="7" t="s">
        <v>61</v>
      </c>
      <c r="I44" s="7" t="s">
        <v>29</v>
      </c>
    </row>
    <row r="45" customFormat="false" ht="15" hidden="false" customHeight="false" outlineLevel="0" collapsed="false">
      <c r="A45" s="8"/>
      <c r="B45" s="19" t="s">
        <v>62</v>
      </c>
      <c r="C45" s="19"/>
      <c r="D45" s="19"/>
      <c r="E45" s="19"/>
      <c r="F45" s="19"/>
      <c r="G45" s="19"/>
      <c r="H45" s="19"/>
      <c r="I45" s="16"/>
    </row>
    <row r="46" customFormat="false" ht="15" hidden="false" customHeight="false" outlineLevel="0" collapsed="false">
      <c r="A46" s="8"/>
      <c r="B46" s="4"/>
      <c r="C46" s="4"/>
      <c r="D46" s="15"/>
      <c r="E46" s="15"/>
      <c r="F46" s="15"/>
      <c r="G46" s="15"/>
      <c r="H46" s="15"/>
      <c r="I46" s="16"/>
    </row>
    <row r="47" customFormat="false" ht="15" hidden="false" customHeight="false" outlineLevel="0" collapsed="false">
      <c r="A47" s="8"/>
      <c r="B47" s="4"/>
      <c r="C47" s="4"/>
      <c r="D47" s="15"/>
      <c r="E47" s="15"/>
      <c r="F47" s="15"/>
      <c r="G47" s="15"/>
      <c r="H47" s="15"/>
      <c r="I47" s="16"/>
    </row>
    <row r="48" customFormat="false" ht="15" hidden="false" customHeight="false" outlineLevel="0" collapsed="false">
      <c r="A48" s="12"/>
      <c r="B48" s="13" t="s">
        <v>63</v>
      </c>
      <c r="C48" s="12"/>
      <c r="D48" s="12"/>
      <c r="E48" s="12"/>
      <c r="F48" s="12"/>
      <c r="G48" s="12"/>
      <c r="H48" s="12"/>
      <c r="I48" s="14" t="n">
        <f aca="false">SUM(I45:I47)</f>
        <v>0</v>
      </c>
    </row>
    <row r="50" customFormat="false" ht="19.5" hidden="false" customHeight="true" outlineLevel="0" collapsed="false">
      <c r="A50" s="6" t="s">
        <v>64</v>
      </c>
      <c r="B50" s="6"/>
      <c r="C50" s="6"/>
      <c r="D50" s="6"/>
      <c r="E50" s="6"/>
      <c r="F50" s="6"/>
      <c r="G50" s="6"/>
      <c r="H50" s="6"/>
      <c r="I50" s="6"/>
    </row>
    <row r="51" customFormat="false" ht="24" hidden="false" customHeight="true" outlineLevel="0" collapsed="false">
      <c r="A51" s="7" t="s">
        <v>24</v>
      </c>
      <c r="B51" s="7" t="s">
        <v>35</v>
      </c>
      <c r="C51" s="7" t="s">
        <v>36</v>
      </c>
      <c r="I51" s="7" t="s">
        <v>29</v>
      </c>
    </row>
    <row r="52" customFormat="false" ht="15" hidden="false" customHeight="false" outlineLevel="0" collapsed="false">
      <c r="A52" s="8" t="s">
        <v>30</v>
      </c>
      <c r="B52" s="4" t="s">
        <v>65</v>
      </c>
      <c r="C52" s="4" t="s">
        <v>66</v>
      </c>
      <c r="D52" s="15"/>
      <c r="E52" s="15"/>
      <c r="F52" s="15"/>
      <c r="G52" s="15"/>
      <c r="H52" s="15"/>
      <c r="I52" s="16" t="n">
        <v>24.23</v>
      </c>
    </row>
    <row r="53" customFormat="false" ht="15" hidden="false" customHeight="false" outlineLevel="0" collapsed="false">
      <c r="A53" s="8"/>
      <c r="B53" s="4"/>
      <c r="C53" s="4"/>
      <c r="D53" s="15"/>
      <c r="E53" s="15"/>
      <c r="F53" s="15"/>
      <c r="G53" s="15"/>
      <c r="H53" s="15"/>
      <c r="I53" s="16"/>
    </row>
    <row r="54" customFormat="false" ht="15" hidden="false" customHeight="false" outlineLevel="0" collapsed="false">
      <c r="A54" s="8"/>
      <c r="B54" s="4"/>
      <c r="C54" s="4"/>
      <c r="D54" s="15"/>
      <c r="E54" s="15"/>
      <c r="F54" s="15"/>
      <c r="G54" s="15"/>
      <c r="H54" s="15"/>
      <c r="I54" s="16"/>
    </row>
    <row r="55" customFormat="false" ht="15" hidden="false" customHeight="false" outlineLevel="0" collapsed="false">
      <c r="A55" s="8"/>
      <c r="B55" s="4"/>
      <c r="C55" s="4"/>
      <c r="D55" s="15"/>
      <c r="E55" s="15"/>
      <c r="F55" s="15"/>
      <c r="G55" s="15"/>
      <c r="H55" s="15"/>
      <c r="I55" s="16"/>
    </row>
    <row r="56" customFormat="false" ht="15" hidden="false" customHeight="false" outlineLevel="0" collapsed="false">
      <c r="A56" s="12"/>
      <c r="B56" s="13" t="s">
        <v>67</v>
      </c>
      <c r="C56" s="12"/>
      <c r="D56" s="12"/>
      <c r="E56" s="12"/>
      <c r="F56" s="12"/>
      <c r="G56" s="12"/>
      <c r="H56" s="12"/>
      <c r="I56" s="14" t="n">
        <f aca="false">SUM(I52:I55)</f>
        <v>24.23</v>
      </c>
    </row>
    <row r="58" customFormat="false" ht="19.5" hidden="false" customHeight="true" outlineLevel="0" collapsed="false">
      <c r="A58" s="6" t="s">
        <v>68</v>
      </c>
      <c r="B58" s="6"/>
      <c r="C58" s="6"/>
      <c r="D58" s="6"/>
      <c r="E58" s="6"/>
      <c r="F58" s="6"/>
      <c r="G58" s="6"/>
      <c r="H58" s="6"/>
      <c r="I58" s="6"/>
    </row>
    <row r="59" customFormat="false" ht="15" hidden="false" customHeight="false" outlineLevel="0" collapsed="false">
      <c r="B59" s="3" t="s">
        <v>69</v>
      </c>
      <c r="I59" s="20" t="n">
        <f aca="false">I19+I31+I41+I48+I56</f>
        <v>267.98</v>
      </c>
    </row>
    <row r="60" customFormat="false" ht="15" hidden="false" customHeight="false" outlineLevel="0" collapsed="false">
      <c r="B60" s="21" t="s">
        <v>70</v>
      </c>
      <c r="I60" s="16"/>
    </row>
    <row r="61" customFormat="false" ht="15" hidden="false" customHeight="false" outlineLevel="0" collapsed="false">
      <c r="B61" s="21" t="s">
        <v>71</v>
      </c>
      <c r="I61" s="16"/>
    </row>
    <row r="62" customFormat="false" ht="21.75" hidden="false" customHeight="true" outlineLevel="0" collapsed="false">
      <c r="A62" s="22"/>
      <c r="B62" s="23" t="s">
        <v>72</v>
      </c>
      <c r="C62" s="22"/>
      <c r="D62" s="22"/>
      <c r="E62" s="22"/>
      <c r="F62" s="22"/>
      <c r="G62" s="22"/>
      <c r="H62" s="22"/>
      <c r="I62" s="24" t="n">
        <f aca="false">I59-N(I60)-N(I61)</f>
        <v>267.98</v>
      </c>
    </row>
    <row r="65" customFormat="false" ht="15" hidden="false" customHeight="false" outlineLevel="0" collapsed="false">
      <c r="A65" s="21" t="s">
        <v>73</v>
      </c>
      <c r="E65" s="21" t="s">
        <v>73</v>
      </c>
    </row>
    <row r="66" customFormat="false" ht="15" hidden="false" customHeight="false" outlineLevel="0" collapsed="false">
      <c r="A66" s="5" t="s">
        <v>74</v>
      </c>
      <c r="E66" s="5" t="s">
        <v>75</v>
      </c>
    </row>
    <row r="69" customFormat="false" ht="19.5" hidden="false" customHeight="true" outlineLevel="0" collapsed="false">
      <c r="A69" s="6" t="s">
        <v>76</v>
      </c>
      <c r="B69" s="6"/>
      <c r="C69" s="6"/>
      <c r="D69" s="6"/>
      <c r="E69" s="6"/>
      <c r="F69" s="6"/>
      <c r="G69" s="6"/>
      <c r="H69" s="6"/>
      <c r="I69" s="6"/>
    </row>
    <row r="70" customFormat="false" ht="42" hidden="false" customHeight="true" outlineLevel="0" collapsed="false">
      <c r="A70" s="25" t="s">
        <v>77</v>
      </c>
      <c r="B70" s="26" t="s">
        <v>78</v>
      </c>
      <c r="C70" s="27" t="s">
        <v>79</v>
      </c>
      <c r="D70" s="27"/>
      <c r="E70" s="27"/>
      <c r="F70" s="27"/>
      <c r="G70" s="27"/>
      <c r="H70" s="27"/>
      <c r="I70" s="27"/>
    </row>
    <row r="71" customFormat="false" ht="42" hidden="false" customHeight="true" outlineLevel="0" collapsed="false">
      <c r="A71" s="28" t="s">
        <v>80</v>
      </c>
      <c r="B71" s="29" t="s">
        <v>81</v>
      </c>
      <c r="C71" s="30" t="s">
        <v>82</v>
      </c>
      <c r="D71" s="30"/>
      <c r="E71" s="30"/>
      <c r="F71" s="30"/>
      <c r="G71" s="30"/>
      <c r="H71" s="30"/>
      <c r="I71" s="30"/>
    </row>
    <row r="72" customFormat="false" ht="42" hidden="false" customHeight="true" outlineLevel="0" collapsed="false">
      <c r="A72" s="25" t="s">
        <v>77</v>
      </c>
      <c r="B72" s="26" t="s">
        <v>83</v>
      </c>
      <c r="C72" s="27" t="s">
        <v>84</v>
      </c>
      <c r="D72" s="27"/>
      <c r="E72" s="27"/>
      <c r="F72" s="27"/>
      <c r="G72" s="27"/>
      <c r="H72" s="27"/>
      <c r="I72" s="27"/>
    </row>
    <row r="73" customFormat="false" ht="42" hidden="false" customHeight="true" outlineLevel="0" collapsed="false">
      <c r="A73" s="28" t="s">
        <v>80</v>
      </c>
      <c r="B73" s="29" t="s">
        <v>85</v>
      </c>
      <c r="C73" s="30" t="s">
        <v>86</v>
      </c>
      <c r="D73" s="30"/>
      <c r="E73" s="30"/>
      <c r="F73" s="30"/>
      <c r="G73" s="30"/>
      <c r="H73" s="30"/>
      <c r="I73" s="30"/>
    </row>
    <row r="74" customFormat="false" ht="42" hidden="false" customHeight="true" outlineLevel="0" collapsed="false">
      <c r="A74" s="28" t="s">
        <v>80</v>
      </c>
      <c r="B74" s="29" t="s">
        <v>87</v>
      </c>
      <c r="C74" s="30" t="s">
        <v>88</v>
      </c>
      <c r="D74" s="30"/>
      <c r="E74" s="30"/>
      <c r="F74" s="30"/>
      <c r="G74" s="30"/>
      <c r="H74" s="30"/>
      <c r="I74" s="30"/>
    </row>
    <row r="75" customFormat="false" ht="27.75" hidden="false" customHeight="true" outlineLevel="0" collapsed="false">
      <c r="A75" s="25" t="s">
        <v>77</v>
      </c>
      <c r="B75" s="26" t="s">
        <v>89</v>
      </c>
      <c r="C75" s="27" t="s">
        <v>90</v>
      </c>
      <c r="D75" s="27"/>
      <c r="E75" s="27"/>
      <c r="F75" s="27"/>
      <c r="G75" s="27"/>
      <c r="H75" s="27"/>
      <c r="I75" s="27"/>
    </row>
    <row r="76" customFormat="false" ht="27.75" hidden="false" customHeight="true" outlineLevel="0" collapsed="false">
      <c r="A76" s="25" t="s">
        <v>77</v>
      </c>
      <c r="B76" s="26" t="s">
        <v>91</v>
      </c>
      <c r="C76" s="27" t="s">
        <v>92</v>
      </c>
      <c r="D76" s="27"/>
      <c r="E76" s="27"/>
      <c r="F76" s="27"/>
      <c r="G76" s="27"/>
      <c r="H76" s="27"/>
      <c r="I76" s="27"/>
    </row>
    <row r="77" customFormat="false" ht="42" hidden="false" customHeight="true" outlineLevel="0" collapsed="false">
      <c r="A77" s="28" t="s">
        <v>80</v>
      </c>
      <c r="B77" s="29" t="s">
        <v>93</v>
      </c>
      <c r="C77" s="30" t="s">
        <v>94</v>
      </c>
      <c r="D77" s="30"/>
      <c r="E77" s="30"/>
      <c r="F77" s="30"/>
      <c r="G77" s="30"/>
      <c r="H77" s="30"/>
      <c r="I77" s="30"/>
    </row>
    <row r="78" customFormat="false" ht="42" hidden="false" customHeight="true" outlineLevel="0" collapsed="false">
      <c r="A78" s="28" t="s">
        <v>80</v>
      </c>
      <c r="B78" s="29" t="s">
        <v>95</v>
      </c>
      <c r="C78" s="30" t="s">
        <v>96</v>
      </c>
      <c r="D78" s="30"/>
      <c r="E78" s="30"/>
      <c r="F78" s="30"/>
      <c r="G78" s="30"/>
      <c r="H78" s="30"/>
      <c r="I78" s="30"/>
    </row>
    <row r="79" customFormat="false" ht="42" hidden="false" customHeight="true" outlineLevel="0" collapsed="false">
      <c r="A79" s="28" t="s">
        <v>80</v>
      </c>
      <c r="B79" s="29" t="s">
        <v>97</v>
      </c>
      <c r="C79" s="30" t="s">
        <v>98</v>
      </c>
      <c r="D79" s="30"/>
      <c r="E79" s="30"/>
      <c r="F79" s="30"/>
      <c r="G79" s="30"/>
      <c r="H79" s="30"/>
      <c r="I79" s="30"/>
    </row>
    <row r="80" customFormat="false" ht="42" hidden="false" customHeight="true" outlineLevel="0" collapsed="false">
      <c r="A80" s="28" t="s">
        <v>80</v>
      </c>
      <c r="B80" s="29" t="s">
        <v>99</v>
      </c>
      <c r="C80" s="30" t="s">
        <v>100</v>
      </c>
      <c r="D80" s="30"/>
      <c r="E80" s="30"/>
      <c r="F80" s="30"/>
      <c r="G80" s="30"/>
      <c r="H80" s="30"/>
      <c r="I80" s="30"/>
    </row>
  </sheetData>
  <mergeCells count="51">
    <mergeCell ref="A1:I1"/>
    <mergeCell ref="A2:I2"/>
    <mergeCell ref="B4:E4"/>
    <mergeCell ref="B5:E5"/>
    <mergeCell ref="B6:E6"/>
    <mergeCell ref="G6:I6"/>
    <mergeCell ref="B7:E7"/>
    <mergeCell ref="G7:I7"/>
    <mergeCell ref="B8:E8"/>
    <mergeCell ref="B9:E9"/>
    <mergeCell ref="B10:E10"/>
    <mergeCell ref="B11:E11"/>
    <mergeCell ref="B12:E12"/>
    <mergeCell ref="A13:I13"/>
    <mergeCell ref="E15:H15"/>
    <mergeCell ref="E16:H16"/>
    <mergeCell ref="E17:H17"/>
    <mergeCell ref="E18:H18"/>
    <mergeCell ref="A21:I21"/>
    <mergeCell ref="D23:H23"/>
    <mergeCell ref="D24:H24"/>
    <mergeCell ref="D25:H25"/>
    <mergeCell ref="D26:H26"/>
    <mergeCell ref="D27:H27"/>
    <mergeCell ref="D28:H28"/>
    <mergeCell ref="D29:H29"/>
    <mergeCell ref="D30:H30"/>
    <mergeCell ref="A33:I33"/>
    <mergeCell ref="A43:I43"/>
    <mergeCell ref="B45:H45"/>
    <mergeCell ref="D45:H45"/>
    <mergeCell ref="D46:H46"/>
    <mergeCell ref="D47:H47"/>
    <mergeCell ref="A50:I50"/>
    <mergeCell ref="D52:H52"/>
    <mergeCell ref="D53:H53"/>
    <mergeCell ref="D54:H54"/>
    <mergeCell ref="D55:H55"/>
    <mergeCell ref="A58:I58"/>
    <mergeCell ref="A69:I69"/>
    <mergeCell ref="C70:I70"/>
    <mergeCell ref="C71:I71"/>
    <mergeCell ref="C72:I72"/>
    <mergeCell ref="C73:I73"/>
    <mergeCell ref="C74:I74"/>
    <mergeCell ref="C75:I75"/>
    <mergeCell ref="C76:I76"/>
    <mergeCell ref="C77:I77"/>
    <mergeCell ref="C78:I78"/>
    <mergeCell ref="C79:I79"/>
    <mergeCell ref="C80:I80"/>
  </mergeCells>
  <dataValidations count="4">
    <dataValidation allowBlank="true" errorStyle="stop" operator="between" showDropDown="false" showErrorMessage="false" showInputMessage="false" sqref="C15:C18" type="list">
      <formula1>'Saetze 2026'!$A$15:$A$17</formula1>
      <formula2>0</formula2>
    </dataValidation>
    <dataValidation allowBlank="true" errorStyle="stop" operator="between" showDropDown="false" showErrorMessage="false" showInputMessage="false" sqref="B35:B40" type="list">
      <formula1>'Saetze 2026'!$B$5:$B$7</formula1>
      <formula2>0</formula2>
    </dataValidation>
    <dataValidation allowBlank="true" errorStyle="stop" operator="between" showDropDown="false" showErrorMessage="false" showInputMessage="false" sqref="C35:C40" type="list">
      <formula1>'Saetze 2026'!$C$4:$F$4</formula1>
      <formula2>0</formula2>
    </dataValidation>
    <dataValidation allowBlank="true" errorStyle="stop" operator="between" showDropDown="false" showErrorMessage="false" showInputMessage="false" sqref="F35:H40"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7"/>
    <col collapsed="false" customWidth="true" hidden="false" outlineLevel="0" max="4" min="3" style="0" width="15"/>
    <col collapsed="false" customWidth="true" hidden="false" outlineLevel="0" max="6" min="5" style="0" width="12"/>
    <col collapsed="false" customWidth="true" hidden="false" outlineLevel="0" max="7" min="7" style="0" width="15"/>
  </cols>
  <sheetData>
    <row r="1" customFormat="false" ht="19.7" hidden="false" customHeight="false" outlineLevel="0" collapsed="false">
      <c r="A1" s="31" t="s">
        <v>101</v>
      </c>
    </row>
    <row r="2" customFormat="false" ht="15" hidden="false" customHeight="false" outlineLevel="0" collapsed="false">
      <c r="A2" s="5" t="s">
        <v>102</v>
      </c>
    </row>
    <row r="4" customFormat="false" ht="27.75" hidden="false" customHeight="true" outlineLevel="0" collapsed="false">
      <c r="A4" s="7" t="s">
        <v>49</v>
      </c>
      <c r="B4" s="7" t="s">
        <v>103</v>
      </c>
      <c r="C4" s="7" t="s">
        <v>104</v>
      </c>
      <c r="D4" s="7" t="s">
        <v>57</v>
      </c>
      <c r="E4" s="7" t="s">
        <v>105</v>
      </c>
      <c r="F4" s="7" t="s">
        <v>106</v>
      </c>
      <c r="G4" s="7" t="s">
        <v>107</v>
      </c>
    </row>
    <row r="5" customFormat="false" ht="15" hidden="false" customHeight="false" outlineLevel="0" collapsed="false">
      <c r="A5" s="21" t="s">
        <v>108</v>
      </c>
      <c r="B5" s="21" t="s">
        <v>109</v>
      </c>
      <c r="C5" s="32" t="n">
        <v>28</v>
      </c>
      <c r="D5" s="32" t="n">
        <v>14</v>
      </c>
      <c r="E5" s="32" t="n">
        <v>14</v>
      </c>
      <c r="F5" s="32" t="n">
        <v>0</v>
      </c>
      <c r="G5" s="32" t="s">
        <v>80</v>
      </c>
    </row>
    <row r="6" customFormat="false" ht="15" hidden="false" customHeight="false" outlineLevel="0" collapsed="false">
      <c r="A6" s="21" t="s">
        <v>56</v>
      </c>
      <c r="B6" s="21" t="s">
        <v>56</v>
      </c>
      <c r="C6" s="32" t="n">
        <v>66</v>
      </c>
      <c r="D6" s="32" t="n">
        <v>44</v>
      </c>
      <c r="E6" s="32" t="n">
        <v>44</v>
      </c>
      <c r="F6" s="32" t="n">
        <v>0</v>
      </c>
      <c r="G6" s="32" t="n">
        <v>163</v>
      </c>
    </row>
    <row r="7" customFormat="false" ht="15" hidden="false" customHeight="false" outlineLevel="0" collapsed="false">
      <c r="A7" s="21" t="s">
        <v>110</v>
      </c>
      <c r="B7" s="21" t="s">
        <v>111</v>
      </c>
      <c r="C7" s="32" t="n">
        <v>52</v>
      </c>
      <c r="D7" s="32" t="n">
        <v>35</v>
      </c>
      <c r="E7" s="32" t="n">
        <v>35</v>
      </c>
      <c r="F7" s="32" t="n">
        <v>0</v>
      </c>
      <c r="G7" s="32" t="n">
        <v>99</v>
      </c>
    </row>
    <row r="9" customFormat="false" ht="15" hidden="false" customHeight="false" outlineLevel="0" collapsed="false">
      <c r="A9" s="3" t="s">
        <v>112</v>
      </c>
    </row>
    <row r="10" customFormat="false" ht="15" hidden="false" customHeight="false" outlineLevel="0" collapsed="false">
      <c r="A10" s="21" t="s">
        <v>113</v>
      </c>
      <c r="B10" s="33" t="n">
        <v>0.2</v>
      </c>
    </row>
    <row r="11" customFormat="false" ht="15" hidden="false" customHeight="false" outlineLevel="0" collapsed="false">
      <c r="A11" s="21" t="s">
        <v>114</v>
      </c>
      <c r="B11" s="33" t="n">
        <v>0.4</v>
      </c>
    </row>
    <row r="12" customFormat="false" ht="15" hidden="false" customHeight="false" outlineLevel="0" collapsed="false">
      <c r="A12" s="21" t="s">
        <v>115</v>
      </c>
      <c r="B12" s="33" t="n">
        <v>0.4</v>
      </c>
    </row>
    <row r="14" customFormat="false" ht="15" hidden="false" customHeight="false" outlineLevel="0" collapsed="false">
      <c r="A14" s="3" t="s">
        <v>116</v>
      </c>
    </row>
    <row r="15" customFormat="false" ht="15" hidden="false" customHeight="false" outlineLevel="0" collapsed="false">
      <c r="A15" s="21" t="s">
        <v>32</v>
      </c>
      <c r="C15" s="34" t="n">
        <v>0.3</v>
      </c>
    </row>
    <row r="16" customFormat="false" ht="15" hidden="false" customHeight="false" outlineLevel="0" collapsed="false">
      <c r="A16" s="21" t="s">
        <v>117</v>
      </c>
      <c r="C16" s="34" t="n">
        <v>0.2</v>
      </c>
    </row>
    <row r="17" customFormat="false" ht="15" hidden="false" customHeight="false" outlineLevel="0" collapsed="false">
      <c r="A17" s="21" t="s">
        <v>118</v>
      </c>
      <c r="C17" s="34" t="n">
        <v>0.05</v>
      </c>
    </row>
    <row r="20" customFormat="false" ht="15" hidden="false" customHeight="false" outlineLevel="0" collapsed="false">
      <c r="A20" s="3" t="s">
        <v>119</v>
      </c>
    </row>
    <row r="21" customFormat="false" ht="15" hidden="false" customHeight="false" outlineLevel="0" collapsed="false">
      <c r="A21" s="5" t="s">
        <v>120</v>
      </c>
    </row>
    <row r="22" customFormat="false" ht="15" hidden="false" customHeight="false" outlineLevel="0" collapsed="false">
      <c r="A22" s="5" t="s">
        <v>121</v>
      </c>
    </row>
    <row r="23" customFormat="false" ht="15" hidden="false" customHeight="false" outlineLevel="0" collapsed="false">
      <c r="A23" s="5" t="s">
        <v>122</v>
      </c>
    </row>
    <row r="24" customFormat="false" ht="15" hidden="false" customHeight="false" outlineLevel="0" collapsed="false">
      <c r="A24" s="5" t="s">
        <v>123</v>
      </c>
    </row>
    <row r="25" customFormat="false" ht="15" hidden="false" customHeight="false" outlineLevel="0" collapsed="false">
      <c r="A25" s="5" t="s">
        <v>124</v>
      </c>
    </row>
    <row r="26" customFormat="false" ht="15" hidden="false" customHeight="false" outlineLevel="0" collapsed="false">
      <c r="A26" s="5" t="s">
        <v>125</v>
      </c>
    </row>
    <row r="27" customFormat="false" ht="15" hidden="false" customHeight="false" outlineLevel="0" collapsed="false">
      <c r="A27" s="5"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2026-10-21T16:36:58Z</dcterms:created>
  <dc:creator>openpyxl</dc:creator>
  <dc:description/>
  <dc:language>en-US</dc:language>
  <cp:lastModifiedBy/>
  <dcterms:modified xsi:type="dcterms:W3CDTF">2026-10-21T16:36:58Z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