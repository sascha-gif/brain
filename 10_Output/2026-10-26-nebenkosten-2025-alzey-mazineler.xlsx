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rechnung" sheetId="1" state="visible" r:id="rId3"/>
    <sheet name="Hinweise und Fristen" sheetId="2" state="visible" r:id="rId4"/>
    <sheet name="Heizkosten pruefen" sheetId="3" state="visible" r:id="rId5"/>
  </sheets>
  <definedNames>
    <definedName function="false" hidden="false" localSheetId="0" name="_xlnm.Print_Area" vbProcedure="false">Abrechnung!$A$1:$E$63</definedName>
    <definedName function="false" hidden="false" localSheetId="2" name="_xlnm.Print_Area" vbProcedure="false">'Heizkosten pruefen'!$A$1:$E$32</definedName>
    <definedName function="false" hidden="false" localSheetId="1" name="_xlnm.Print_Area" vbProcedure="false">'Hinweise und Fristen'!$A$1:$B$22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8" authorId="0">
      <text>
        <r>
          <rPr>
            <sz val="10"/>
            <rFont val="Arial"/>
            <family val="2"/>
          </rPr>
          <t xml:space="preserve">Techem-Abrechnung über die WEG. Enthält Heizung und Warmwasser; mit 3.325,72 € macht sie drei Viertel Ihrer gesamten Betriebskosten aus.</t>
        </r>
      </text>
    </comment>
    <comment ref="A28" authorId="0">
      <text>
        <r>
          <rPr>
            <sz val="10"/>
            <rFont val="Arial"/>
            <family val="2"/>
          </rPr>
          <t xml:space="preserve">Zahlt der Eigentümer direkt an die Stadt Alzey, läuft nicht über die Verwaltung. 123,04 € im Jahr, Messbetrag 32,38 € × Hebesatz 380 %. Nach § 2 Nr. 1 BetrKV umlagefähig, im Mietvertrag unter Ziff. 2 Nr. 1 ausdrücklich vereinbart.</t>
        </r>
      </text>
    </comment>
    <comment ref="E33" authorId="0">
      <text>
        <r>
          <rPr>
            <sz val="10"/>
            <rFont val="Arial"/>
            <family val="2"/>
          </rPr>
          <t xml:space="preserve">FEHLT: Summe der 2025 tatsächlich gezahlten Vorauszahlungen eintragen.
Achtung: Die Miete Mai 2025 wurde nie gezahlt, die Lastschrift ging zurück. Es sind also elf Monate, nicht zwölf.
Wie sich die 720 € in Kaltmiete, Garage und Vorauszahlung aufteilen, ist ungeklärt — siehe die Szenarien weiter unten.</t>
        </r>
      </text>
    </comment>
    <comment ref="E34" authorId="0">
      <text>
        <r>
          <rPr>
            <sz val="10"/>
            <rFont val="Arial"/>
            <family val="2"/>
          </rPr>
          <t xml:space="preserve">FEHLT: Nach dem CO₂-Kostenaufteilungsgesetz trägt der Vermieter einen Teil der CO₂-Abgabe. Techem weist ihn auf der Abrechnung je Bewohner aus, weil die Verwaltung ihn nicht von den Brennstoffkosten abzieht.
2024 waren es 43,85 €. Den Wert für 2025 aus der Techem-Abrechnung 2025 übernehmen.</t>
        </r>
      </text>
    </comment>
  </commentList>
</comments>
</file>

<file path=xl/sharedStrings.xml><?xml version="1.0" encoding="utf-8"?>
<sst xmlns="http://schemas.openxmlformats.org/spreadsheetml/2006/main" count="129" uniqueCount="116">
  <si>
    <t xml:space="preserve">Sascha Coldewey</t>
  </si>
  <si>
    <t xml:space="preserve">26.10.2026</t>
  </si>
  <si>
    <t xml:space="preserve">Im Zuckergarten 28 · 55129 Mainz</t>
  </si>
  <si>
    <t xml:space="preserve">Herrn Abdurrahim Mazineler</t>
  </si>
  <si>
    <t xml:space="preserve">Langstraße 35</t>
  </si>
  <si>
    <t xml:space="preserve">55232 Alzey</t>
  </si>
  <si>
    <t xml:space="preserve">Betriebskostenabrechnung 2025</t>
  </si>
  <si>
    <t xml:space="preserve">Langstraße 35, Wohneinheit 6, 2. OG links, 55232 Alzey · Abrechnungszeitraum 01.01.2025 bis 31.12.2025 · Wohnfläche 55,45 qm</t>
  </si>
  <si>
    <t xml:space="preserve">Sehr geehrter Herr Mazineler,</t>
  </si>
  <si>
    <t xml:space="preserve">anbei erhalten Sie die Abrechnung der Betriebs- und Heizkosten für das Jahr 2025. Die zugrunde liegenden Belege können Sie nach Absprache einsehen.</t>
  </si>
  <si>
    <t xml:space="preserve">Abrechnungsposten</t>
  </si>
  <si>
    <t xml:space="preserve">Position</t>
  </si>
  <si>
    <t xml:space="preserve">Verteilt nach</t>
  </si>
  <si>
    <t xml:space="preserve">Kosten gesamt</t>
  </si>
  <si>
    <t xml:space="preserve">Ihr Anteil</t>
  </si>
  <si>
    <t xml:space="preserve">Heizung und Warmwasser</t>
  </si>
  <si>
    <t xml:space="preserve">Verbrauch, HeizkostenV</t>
  </si>
  <si>
    <t xml:space="preserve">Kaltwasser und Sonstiges</t>
  </si>
  <si>
    <t xml:space="preserve">Festbetrag</t>
  </si>
  <si>
    <t xml:space="preserve">Hausmeisterkosten</t>
  </si>
  <si>
    <t xml:space="preserve">Wohnfläche</t>
  </si>
  <si>
    <t xml:space="preserve">Gartenarbeiten</t>
  </si>
  <si>
    <t xml:space="preserve">Winterdienst</t>
  </si>
  <si>
    <t xml:space="preserve">Wartung Rauchwarnmelder</t>
  </si>
  <si>
    <t xml:space="preserve">Beleuchtung</t>
  </si>
  <si>
    <t xml:space="preserve">Müllentsorgung</t>
  </si>
  <si>
    <t xml:space="preserve">Versicherung Gebäude</t>
  </si>
  <si>
    <t xml:space="preserve">Versicherung Haftpflicht</t>
  </si>
  <si>
    <t xml:space="preserve">Grundsteuer</t>
  </si>
  <si>
    <t xml:space="preserve">direkt</t>
  </si>
  <si>
    <t xml:space="preserve">Summe der umlagefähigen Kosten</t>
  </si>
  <si>
    <t xml:space="preserve">Ergebnis</t>
  </si>
  <si>
    <t xml:space="preserve">Ihr Anteil an den Betriebs- und Heizkosten</t>
  </si>
  <si>
    <t xml:space="preserve">abzüglich Ihrer Vorauszahlungen</t>
  </si>
  <si>
    <t xml:space="preserve">abzüglich Erstattung CO₂-Kosten (Vermieteranteil 30 %)</t>
  </si>
  <si>
    <t xml:space="preserve">Ein negatives Ergebnis ist eine Nachzahlung des Mieters, ein positives sein Guthaben.</t>
  </si>
  <si>
    <t xml:space="preserve">Eine sich ergebende Nachzahlung ist innerhalb von 30 Tagen nach Zugang dieser Abrechnung fällig. Ein Guthaben überweise ich Ihnen in derselben Frist.</t>
  </si>
  <si>
    <t xml:space="preserve">Mit freundlichen Grüßen</t>
  </si>
  <si>
    <t xml:space="preserve">Grundlage: Hausgeldabrechnung der Steinmann Immobilien für die WEG Langstraße 35+37 vom 18.06.2026, Einheit 0144.01.006.</t>
  </si>
  <si>
    <t xml:space="preserve">Was bei welcher Aufteilung herauskommt</t>
  </si>
  <si>
    <t xml:space="preserve">Mazineler überweist seit mindestens 2025 durchgängig 720,00 € im Monat. Der Vertrag von 2021 nennt 600,00 €. Welcher Teil davon Vorauszahlung ist, steht nirgends — und genau das entscheidet über das Ergebnis:</t>
  </si>
  <si>
    <t xml:space="preserve">Annahme</t>
  </si>
  <si>
    <t xml:space="preserve">Kaltmiete + Garage</t>
  </si>
  <si>
    <t xml:space="preserve">Vorauszahlung</t>
  </si>
  <si>
    <t xml:space="preserve">11 Monate</t>
  </si>
  <si>
    <t xml:space="preserve">Vorauszahlung unverändert</t>
  </si>
  <si>
    <t xml:space="preserve">Vorauszahlung auf 280 erhöht</t>
  </si>
  <si>
    <t xml:space="preserve">Vorauszahlung auf 320 erhöht</t>
  </si>
  <si>
    <t xml:space="preserve">Ein negatives Ergebnis ist die Nachzahlung, die auf Mazineler zukäme. Die mittlere Zeile entspricht am ehesten dem, was üblich wäre — aber geraten ist geraten. Nimm die Zahl aus dem Mietvertrag oder einer Erhöhungserklärung, falls es eine gibt, sonst aus einer Verständigung mit dem Mieter.</t>
  </si>
  <si>
    <t xml:space="preserve">Die Miete Mai 2025 ist offen</t>
  </si>
  <si>
    <t xml:space="preserve">Die Lastschrift wurde zurückgegeben, gezahlt wurde nie. Deshalb rechnen die Spalten oben mit elf statt zwölf Monaten — die in der Maimiete enthaltene Vorauszahlung ist nie geflossen und darf nicht angerechnet werden.
Die offene Miete selbst gehört nicht in diese Abrechnung: Sie ist eine eigene Forderung über 720,00 € und wird getrennt geltend gemacht. Verjährung tritt erst Ende 2028 ein, Eile besteht also nicht — aber liegen lassen sollte man sie auch nicht.</t>
  </si>
  <si>
    <t xml:space="preserve">Was du wissen musst</t>
  </si>
  <si>
    <t xml:space="preserve">Nicht mitschicken — das ist für dich.</t>
  </si>
  <si>
    <t xml:space="preserve">WARNUNG</t>
  </si>
  <si>
    <t xml:space="preserve">Frist 31.12.2026</t>
  </si>
  <si>
    <t xml:space="preserve">Für 2025 kannst du nur bis zum 31.12.2026 abrechnen (§ 556 Abs. 3 BGB). Danach ist eine Nachforderung ausgeschlossen — ein Guthaben müsstest du trotzdem auszahlen. Bei dieser Kostenhöhe geht es um einen vierstelligen Betrag. Das ist der dringendste Punkt.</t>
  </si>
  <si>
    <t xml:space="preserve">Die Jahre davor</t>
  </si>
  <si>
    <t xml:space="preserve">2021 bis 2024 sind abgelaufen: Für jedes Jahr endete die Frist ein Jahr nach dem Abrechnungszeitraum. Nachforderungen daraus sind verloren, sofern nicht abgerechnet wurde. Allein 2024 lagen die umlagefähigen Kosten bei 5.670,68 € gegenüber vermutlich 2.400 € Vorauszahlung. Prüfen, ob dein Vater als Nießbraucher damals abgerechnet hat.</t>
  </si>
  <si>
    <t xml:space="preserve">OFFEN</t>
  </si>
  <si>
    <t xml:space="preserve">Vorauszahlung 2025</t>
  </si>
  <si>
    <t xml:space="preserve">Die einzige fehlende Zahl. Nimm die tatsächlichen Eingänge von Mazineler aus deinen Kontoauszügen 2025, nicht den Vertragswert.</t>
  </si>
  <si>
    <t xml:space="preserve">—</t>
  </si>
  <si>
    <t xml:space="preserve">Warum so teuer</t>
  </si>
  <si>
    <t xml:space="preserve">3.325,72 € Heizung und Warmwasser auf 55,45 qm sind auffällig viel — rund 60 €/qm im Jahr, etwa das Dreifache eines üblichen Werts. Entweder ist der Verbrauch hoch oder die Techem-Abrechnung lohnt einen zweiten Blick. Das betrifft dich nicht direkt, weil die Kosten umlagefähig sind, aber eine Nachzahlung in dieser Höhe wird Fragen auslösen.</t>
  </si>
  <si>
    <t xml:space="preserve">Nicht umlagefähig</t>
  </si>
  <si>
    <t xml:space="preserve">1.057,37 € bleiben bei dir: Verwaltervergütung 342,72 €, Instandhaltung 692,65 €, Rauchwarnmelder-Miete 14,36 €, Geldverkehr 7,64 €, Rücklastschrift 0,27 €. In der Anlage V als Werbungskosten ansetzen.</t>
  </si>
  <si>
    <t xml:space="preserve">Rauchwarnmelder</t>
  </si>
  <si>
    <t xml:space="preserve">Die Wartung (4,87 €) ist umlagefähig, die Miete der Geräte (14,36 €) nicht. Die Verwaltung trennt das korrekt — in der Abrechnung steht nur die Wartung.</t>
  </si>
  <si>
    <t xml:space="preserve">Die Heizkosten sind der Knackpunkt</t>
  </si>
  <si>
    <t xml:space="preserve">Grundlage: Techem-Abrechnung 2024, Nutzer 0144.01.006.01, Lage 2GL. Die Abrechnung 2025 liegt noch nicht vor.</t>
  </si>
  <si>
    <t xml:space="preserve">Techem sagt es selbst</t>
  </si>
  <si>
    <t xml:space="preserve">2024</t>
  </si>
  <si>
    <t xml:space="preserve">2023</t>
  </si>
  <si>
    <t xml:space="preserve">Bewertung</t>
  </si>
  <si>
    <t xml:space="preserve">Verbrauch der Wohnung</t>
  </si>
  <si>
    <t xml:space="preserve">20.158 kWh</t>
  </si>
  <si>
    <t xml:space="preserve">23.360 kWh</t>
  </si>
  <si>
    <t xml:space="preserve">witterungsbereinigt</t>
  </si>
  <si>
    <t xml:space="preserve">Durchschnittsnutzer</t>
  </si>
  <si>
    <t xml:space="preserve">6.549 kWh</t>
  </si>
  <si>
    <t xml:space="preserve">8.584 kWh</t>
  </si>
  <si>
    <t xml:space="preserve">Techems Vergleichsgruppe</t>
  </si>
  <si>
    <t xml:space="preserve">Abweichung</t>
  </si>
  <si>
    <t xml:space="preserve">+208 %</t>
  </si>
  <si>
    <t xml:space="preserve">+172 %</t>
  </si>
  <si>
    <t xml:space="preserve">Techems eigene Angabe</t>
  </si>
  <si>
    <t xml:space="preserve">Verbrauch je Quadratmeter</t>
  </si>
  <si>
    <t xml:space="preserve">364 kWh/qm</t>
  </si>
  <si>
    <t xml:space="preserve">421 kWh/qm</t>
  </si>
  <si>
    <t xml:space="preserve">üblich sind 130 bis 150</t>
  </si>
  <si>
    <t xml:space="preserve">Der Befund ist über zwei Jahre stabil und stammt nicht von mir, sondern aus Techems eigener Verbrauchsanalyse. Die Wohnung verbraucht dreimal so viel wie vergleichbare Wohnungen. Das erklärt die 3.729,58 € für 2024 — sie sind die Folge des Verbrauchs, nicht eines Rechenfehlers.</t>
  </si>
  <si>
    <t xml:space="preserve">Wie sich der Verbrauch auf die Räume verteilt</t>
  </si>
  <si>
    <t xml:space="preserve">Heizkörper</t>
  </si>
  <si>
    <t xml:space="preserve">Einheiten</t>
  </si>
  <si>
    <t xml:space="preserve">Anteil</t>
  </si>
  <si>
    <t xml:space="preserve">Wohnzimmer</t>
  </si>
  <si>
    <t xml:space="preserve">Der Wohnzimmer-Heizkörper allein macht über die Hälfte aus. Entweder läuft er dauerhaft, oder sein Bewertungsfaktor stimmt nicht.</t>
  </si>
  <si>
    <t xml:space="preserve">Schlafzimmer</t>
  </si>
  <si>
    <t xml:space="preserve">Flur/Diele</t>
  </si>
  <si>
    <t xml:space="preserve">Bad</t>
  </si>
  <si>
    <t xml:space="preserve">Allgemeiner Raum</t>
  </si>
  <si>
    <t xml:space="preserve">Toilette</t>
  </si>
  <si>
    <t xml:space="preserve">Summe</t>
  </si>
  <si>
    <t xml:space="preserve">Was zu prüfen ist, in dieser Reihenfolge</t>
  </si>
  <si>
    <t xml:space="preserve">1  Techem-Abrechnung 2025 anfordern</t>
  </si>
  <si>
    <t xml:space="preserve">Liegt noch nicht vor, wird aber für die Mieterabrechnung gebraucht. Dabei gleich die Bewertungsfaktoren der Heizkostenverteiler mit anfordern — die stehen nicht auf der Abrechnung, bestimmen aber, wie Ableseeinheiten in Kosten umgerechnet werden. Ein falsch parametrierter Heizkörper verzerrt alles.</t>
  </si>
  <si>
    <t xml:space="preserve">2  Rohrwärme prüfen</t>
  </si>
  <si>
    <t xml:space="preserve">Der klassische Grund für Ausreißer nach oben: Laufen ungedämmte Heizungsleitungen sichtbar durch die Wohnung, geben sie Wärme ab, die die Heizkostenverteiler nicht messen — dafür heizen die Heizkörper mehr. § 7 Abs. 1 Satz 3 HeizkostenV erlaubt dann eine Korrektur nach VDI 2077. Bei einer Wohnung im Obergeschoss mit durchlaufenden Steigsträngen lohnt der Blick.</t>
  </si>
  <si>
    <t xml:space="preserve">3  Wohnung ansehen</t>
  </si>
  <si>
    <t xml:space="preserve">Thermostatventile defekt oder dauerhaft offen? Fenster undicht? Dach gedämmt? Die Wohnung liegt im 2. Obergeschoss links, also oben — Wärmeverluste über die Decke sind dort am größten.</t>
  </si>
  <si>
    <t xml:space="preserve">4  Mit dem Mieter sprechen</t>
  </si>
  <si>
    <t xml:space="preserve">Bei 208 % über dem Schnitt wird er eine Nachzahlung in dieser Höhe nicht kommentarlos zahlen. Besser vorher klären als hinterher streiten. Techem liefert seit 2022 monatliche Verbrauchsinformationen — er müsste den Verlauf kennen.</t>
  </si>
  <si>
    <t xml:space="preserve">5  Wirtschaftlich einordnen</t>
  </si>
  <si>
    <t xml:space="preserve">Die Heizkosten trägt der Mieter, nicht du. Aber ein Verbrauch dieser Höhe drückt die erzielbare Kaltmiete und macht die Wohnung bei Neuvermietung schwer vermittelbar. Wenn eine Dämmung oder ein hydraulischer Abgleich das Dreifache auf das Übliche senkt, rechnet sich das über die Miete.</t>
  </si>
  <si>
    <t xml:space="preserve">Nebenbefund: CO₂-Kosten</t>
  </si>
  <si>
    <t xml:space="preserve">Die Liegenschaft stößt 25,3 kg CO₂ je Quadratmeter und Jahr aus. Nach dem CO₂-Kostenaufteilungsgesetz trägst du davon 30 Prozent — 2024 waren das 43,85 €. Techem weist den Betrag aus, zieht ihn aber nicht ab, weil die Verwaltung es so wollte. Du musst ihn dem Mieter erstatten; in der Abrechnung ist die Zeile dafür vorgesehen.</t>
  </si>
</sst>
</file>

<file path=xl/styles.xml><?xml version="1.0" encoding="utf-8"?>
<styleSheet xmlns="http://schemas.openxmlformats.org/spreadsheetml/2006/main">
  <numFmts count="4">
    <numFmt numFmtId="164" formatCode="General"/>
    <numFmt numFmtId="165" formatCode="#,##0.00&quot; €&quot;;\-#,##0.00&quot; €&quot;;\-"/>
    <numFmt numFmtId="166" formatCode="#,##0"/>
    <numFmt numFmtId="167" formatCode="00\ %"/>
  </numFmts>
  <fonts count="15">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6"/>
      <name val="Arial"/>
      <family val="0"/>
      <charset val="1"/>
    </font>
    <font>
      <sz val="8"/>
      <color rgb="FF595959"/>
      <name val="Arial"/>
      <family val="0"/>
      <charset val="1"/>
    </font>
    <font>
      <b val="true"/>
      <sz val="11"/>
      <color rgb="FFFFFFFF"/>
      <name val="Arial"/>
      <family val="0"/>
      <charset val="1"/>
    </font>
    <font>
      <b val="true"/>
      <sz val="9"/>
      <name val="Arial"/>
      <family val="0"/>
      <charset val="1"/>
    </font>
    <font>
      <sz val="10"/>
      <color rgb="FF0000FF"/>
      <name val="Arial"/>
      <family val="0"/>
      <charset val="1"/>
    </font>
    <font>
      <b val="true"/>
      <sz val="12"/>
      <name val="Arial"/>
      <family val="0"/>
      <charset val="1"/>
    </font>
    <font>
      <sz val="7"/>
      <color rgb="FF808080"/>
      <name val="Arial"/>
      <family val="0"/>
      <charset val="1"/>
    </font>
    <font>
      <b val="true"/>
      <sz val="9"/>
      <color rgb="FFC00000"/>
      <name val="Arial"/>
      <family val="0"/>
      <charset val="1"/>
    </font>
    <font>
      <sz val="10"/>
      <name val="Arial"/>
      <family val="2"/>
    </font>
  </fonts>
  <fills count="8">
    <fill>
      <patternFill patternType="none"/>
    </fill>
    <fill>
      <patternFill patternType="gray125"/>
    </fill>
    <fill>
      <patternFill patternType="solid">
        <fgColor rgb="FF2F4F4F"/>
        <bgColor rgb="FF595959"/>
      </patternFill>
    </fill>
    <fill>
      <patternFill patternType="solid">
        <fgColor rgb="FFE8E8E8"/>
        <bgColor rgb="FFF2F2F2"/>
      </patternFill>
    </fill>
    <fill>
      <patternFill patternType="solid">
        <fgColor rgb="FFF2F2F2"/>
        <bgColor rgb="FFE8E8E8"/>
      </patternFill>
    </fill>
    <fill>
      <patternFill patternType="solid">
        <fgColor rgb="FFFFC7CE"/>
        <bgColor rgb="FFFCE4E4"/>
      </patternFill>
    </fill>
    <fill>
      <patternFill patternType="solid">
        <fgColor rgb="FFD9E1D9"/>
        <bgColor rgb="FFE8E8E8"/>
      </patternFill>
    </fill>
    <fill>
      <patternFill patternType="solid">
        <fgColor rgb="FFFCE4E4"/>
        <bgColor rgb="FFE8E8E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2F4F4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5" fontId="4"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5" fillId="7"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3" fillId="7" borderId="0" xfId="0" applyFont="true" applyBorder="false" applyAlignment="true" applyProtection="false">
      <alignment horizontal="center" vertical="top"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4" fillId="7" borderId="1" xfId="0" applyFont="true" applyBorder="true" applyAlignment="fals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left"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6" fontId="4" fillId="4" borderId="1" xfId="0" applyFont="true" applyBorder="true" applyAlignment="true" applyProtection="false">
      <alignment horizontal="center"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8E8E8"/>
      <rgbColor rgb="FF660066"/>
      <rgbColor rgb="FFFF8080"/>
      <rgbColor rgb="FF0066CC"/>
      <rgbColor rgb="FFD9E1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5" min="3" style="0" width="15"/>
  </cols>
  <sheetData>
    <row r="1" customFormat="false" ht="15" hidden="false" customHeight="false" outlineLevel="0" collapsed="false">
      <c r="A1" s="1" t="s">
        <v>0</v>
      </c>
      <c r="D1" s="2" t="s">
        <v>1</v>
      </c>
      <c r="E1" s="2"/>
    </row>
    <row r="2" customFormat="false" ht="15" hidden="false" customHeight="false" outlineLevel="0" collapsed="false">
      <c r="A2" s="3"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10" customFormat="false" ht="19.7" hidden="false" customHeight="false" outlineLevel="0" collapsed="false">
      <c r="A10" s="4" t="s">
        <v>6</v>
      </c>
      <c r="B10" s="4"/>
      <c r="C10" s="4"/>
      <c r="D10" s="4"/>
      <c r="E10" s="4"/>
    </row>
    <row r="11" customFormat="false" ht="15" hidden="false" customHeight="false" outlineLevel="0" collapsed="false">
      <c r="A11" s="5" t="s">
        <v>7</v>
      </c>
      <c r="B11" s="5"/>
      <c r="C11" s="5"/>
      <c r="D11" s="5"/>
      <c r="E11" s="5"/>
    </row>
    <row r="13" customFormat="false" ht="15" hidden="false" customHeight="false" outlineLevel="0" collapsed="false">
      <c r="A13" s="3" t="s">
        <v>8</v>
      </c>
    </row>
    <row r="14" customFormat="false" ht="25.5" hidden="false" customHeight="true" outlineLevel="0" collapsed="false">
      <c r="A14" s="6" t="s">
        <v>9</v>
      </c>
      <c r="B14" s="6"/>
      <c r="C14" s="6"/>
      <c r="D14" s="6"/>
      <c r="E14" s="6"/>
    </row>
    <row r="16" customFormat="false" ht="19.5" hidden="false" customHeight="true" outlineLevel="0" collapsed="false">
      <c r="A16" s="7" t="s">
        <v>10</v>
      </c>
      <c r="B16" s="7"/>
      <c r="C16" s="7"/>
      <c r="D16" s="7"/>
      <c r="E16" s="7"/>
    </row>
    <row r="17" customFormat="false" ht="24" hidden="false" customHeight="true" outlineLevel="0" collapsed="false">
      <c r="A17" s="8" t="s">
        <v>11</v>
      </c>
      <c r="B17" s="8" t="s">
        <v>12</v>
      </c>
      <c r="C17" s="9"/>
      <c r="D17" s="8" t="s">
        <v>13</v>
      </c>
      <c r="E17" s="8" t="s">
        <v>14</v>
      </c>
    </row>
    <row r="18" customFormat="false" ht="15" hidden="false" customHeight="false" outlineLevel="0" collapsed="false">
      <c r="A18" s="10" t="s">
        <v>15</v>
      </c>
      <c r="B18" s="11" t="s">
        <v>16</v>
      </c>
      <c r="C18" s="10"/>
      <c r="D18" s="12" t="n">
        <v>28843.13</v>
      </c>
      <c r="E18" s="12" t="n">
        <v>3325.72</v>
      </c>
    </row>
    <row r="19" customFormat="false" ht="15" hidden="false" customHeight="false" outlineLevel="0" collapsed="false">
      <c r="A19" s="10" t="s">
        <v>17</v>
      </c>
      <c r="B19" s="11" t="s">
        <v>18</v>
      </c>
      <c r="C19" s="10"/>
      <c r="D19" s="12" t="n">
        <v>4871.29</v>
      </c>
      <c r="E19" s="12" t="n">
        <v>303.9</v>
      </c>
    </row>
    <row r="20" customFormat="false" ht="15" hidden="false" customHeight="false" outlineLevel="0" collapsed="false">
      <c r="A20" s="10" t="s">
        <v>19</v>
      </c>
      <c r="B20" s="11" t="s">
        <v>20</v>
      </c>
      <c r="C20" s="10"/>
      <c r="D20" s="12" t="n">
        <v>4141.2</v>
      </c>
      <c r="E20" s="12" t="n">
        <v>258.34</v>
      </c>
    </row>
    <row r="21" customFormat="false" ht="15" hidden="false" customHeight="false" outlineLevel="0" collapsed="false">
      <c r="A21" s="10" t="s">
        <v>21</v>
      </c>
      <c r="B21" s="11" t="s">
        <v>20</v>
      </c>
      <c r="C21" s="10"/>
      <c r="D21" s="12" t="n">
        <v>1213.8</v>
      </c>
      <c r="E21" s="12" t="n">
        <v>75.73</v>
      </c>
    </row>
    <row r="22" customFormat="false" ht="15" hidden="false" customHeight="false" outlineLevel="0" collapsed="false">
      <c r="A22" s="10" t="s">
        <v>22</v>
      </c>
      <c r="B22" s="11" t="s">
        <v>20</v>
      </c>
      <c r="C22" s="10"/>
      <c r="D22" s="12" t="n">
        <v>285.6</v>
      </c>
      <c r="E22" s="12" t="n">
        <v>17.82</v>
      </c>
    </row>
    <row r="23" customFormat="false" ht="15" hidden="false" customHeight="false" outlineLevel="0" collapsed="false">
      <c r="A23" s="10" t="s">
        <v>23</v>
      </c>
      <c r="B23" s="11" t="s">
        <v>20</v>
      </c>
      <c r="C23" s="10"/>
      <c r="D23" s="12" t="n">
        <v>78.18</v>
      </c>
      <c r="E23" s="12" t="n">
        <v>4.87</v>
      </c>
    </row>
    <row r="24" customFormat="false" ht="15" hidden="false" customHeight="false" outlineLevel="0" collapsed="false">
      <c r="A24" s="10" t="s">
        <v>24</v>
      </c>
      <c r="B24" s="11" t="s">
        <v>20</v>
      </c>
      <c r="C24" s="10"/>
      <c r="D24" s="12" t="n">
        <v>995.63</v>
      </c>
      <c r="E24" s="12" t="n">
        <v>62.11</v>
      </c>
    </row>
    <row r="25" customFormat="false" ht="15" hidden="false" customHeight="false" outlineLevel="0" collapsed="false">
      <c r="A25" s="10" t="s">
        <v>25</v>
      </c>
      <c r="B25" s="11" t="s">
        <v>20</v>
      </c>
      <c r="C25" s="10"/>
      <c r="D25" s="12" t="n">
        <v>2670.95</v>
      </c>
      <c r="E25" s="12" t="n">
        <v>166.62</v>
      </c>
    </row>
    <row r="26" customFormat="false" ht="15" hidden="false" customHeight="false" outlineLevel="0" collapsed="false">
      <c r="A26" s="10" t="s">
        <v>26</v>
      </c>
      <c r="B26" s="11" t="s">
        <v>20</v>
      </c>
      <c r="C26" s="10"/>
      <c r="D26" s="12" t="n">
        <v>2969.34</v>
      </c>
      <c r="E26" s="12" t="n">
        <v>185.24</v>
      </c>
    </row>
    <row r="27" customFormat="false" ht="15" hidden="false" customHeight="false" outlineLevel="0" collapsed="false">
      <c r="A27" s="10" t="s">
        <v>27</v>
      </c>
      <c r="B27" s="11" t="s">
        <v>20</v>
      </c>
      <c r="C27" s="10"/>
      <c r="D27" s="12" t="n">
        <v>71.4</v>
      </c>
      <c r="E27" s="12" t="n">
        <v>4.45</v>
      </c>
    </row>
    <row r="28" customFormat="false" ht="15" hidden="false" customHeight="false" outlineLevel="0" collapsed="false">
      <c r="A28" s="10" t="s">
        <v>28</v>
      </c>
      <c r="B28" s="11" t="s">
        <v>29</v>
      </c>
      <c r="C28" s="10"/>
      <c r="D28" s="12" t="n">
        <v>123.04</v>
      </c>
      <c r="E28" s="12" t="n">
        <v>123.04</v>
      </c>
    </row>
    <row r="29" customFormat="false" ht="15" hidden="false" customHeight="false" outlineLevel="0" collapsed="false">
      <c r="A29" s="13" t="s">
        <v>30</v>
      </c>
      <c r="B29" s="13"/>
      <c r="C29" s="13"/>
      <c r="D29" s="14" t="n">
        <f aca="false">SUM(D18:D28)</f>
        <v>46263.56</v>
      </c>
      <c r="E29" s="14" t="n">
        <f aca="false">SUM(E18:E28)</f>
        <v>4527.84</v>
      </c>
    </row>
    <row r="31" customFormat="false" ht="19.5" hidden="false" customHeight="true" outlineLevel="0" collapsed="false">
      <c r="A31" s="7" t="s">
        <v>31</v>
      </c>
      <c r="B31" s="7"/>
      <c r="C31" s="7"/>
      <c r="D31" s="7"/>
      <c r="E31" s="7"/>
    </row>
    <row r="32" customFormat="false" ht="15" hidden="false" customHeight="false" outlineLevel="0" collapsed="false">
      <c r="A32" s="15" t="s">
        <v>32</v>
      </c>
      <c r="B32" s="15"/>
      <c r="C32" s="15"/>
      <c r="D32" s="15"/>
      <c r="E32" s="16" t="n">
        <f aca="false">E29</f>
        <v>4527.84</v>
      </c>
    </row>
    <row r="33" customFormat="false" ht="15" hidden="false" customHeight="false" outlineLevel="0" collapsed="false">
      <c r="A33" s="15" t="s">
        <v>33</v>
      </c>
      <c r="B33" s="15"/>
      <c r="C33" s="15"/>
      <c r="D33" s="15"/>
      <c r="E33" s="17"/>
    </row>
    <row r="34" customFormat="false" ht="15" hidden="false" customHeight="false" outlineLevel="0" collapsed="false">
      <c r="A34" s="15" t="s">
        <v>34</v>
      </c>
      <c r="B34" s="15"/>
      <c r="C34" s="15"/>
      <c r="D34" s="15"/>
      <c r="E34" s="17"/>
    </row>
    <row r="35" customFormat="false" ht="21.75" hidden="false" customHeight="true" outlineLevel="0" collapsed="false">
      <c r="A35" s="18" t="s">
        <v>31</v>
      </c>
      <c r="B35" s="18"/>
      <c r="C35" s="18"/>
      <c r="D35" s="18"/>
      <c r="E35" s="19" t="n">
        <f aca="false">E33-E32+N(E34)</f>
        <v>-4527.84</v>
      </c>
    </row>
    <row r="36" customFormat="false" ht="15" hidden="false" customHeight="false" outlineLevel="0" collapsed="false">
      <c r="A36" s="20" t="s">
        <v>35</v>
      </c>
      <c r="B36" s="20"/>
      <c r="C36" s="20"/>
      <c r="D36" s="20"/>
      <c r="E36" s="20"/>
    </row>
    <row r="38" customFormat="false" ht="15" hidden="false" customHeight="true" outlineLevel="0" collapsed="false">
      <c r="A38" s="6" t="s">
        <v>36</v>
      </c>
      <c r="B38" s="6"/>
      <c r="C38" s="6"/>
      <c r="D38" s="6"/>
      <c r="E38" s="6"/>
    </row>
    <row r="39" customFormat="false" ht="15" hidden="false" customHeight="false" outlineLevel="0" collapsed="false">
      <c r="A39" s="6"/>
      <c r="B39" s="6"/>
      <c r="C39" s="6"/>
      <c r="D39" s="6"/>
      <c r="E39" s="6"/>
    </row>
    <row r="41" customFormat="false" ht="15" hidden="false" customHeight="false" outlineLevel="0" collapsed="false">
      <c r="A41" s="3" t="s">
        <v>37</v>
      </c>
    </row>
    <row r="44" customFormat="false" ht="15" hidden="false" customHeight="false" outlineLevel="0" collapsed="false">
      <c r="A44" s="3" t="s">
        <v>0</v>
      </c>
    </row>
    <row r="46" customFormat="false" ht="15" hidden="false" customHeight="false" outlineLevel="0" collapsed="false">
      <c r="A46" s="21"/>
      <c r="B46" s="21"/>
      <c r="C46" s="21"/>
      <c r="D46" s="21"/>
      <c r="E46" s="21"/>
    </row>
    <row r="47" customFormat="false" ht="15" hidden="false" customHeight="false" outlineLevel="0" collapsed="false">
      <c r="A47" s="20" t="s">
        <v>38</v>
      </c>
      <c r="B47" s="20"/>
      <c r="C47" s="20"/>
      <c r="D47" s="20"/>
      <c r="E47" s="20"/>
    </row>
    <row r="49" customFormat="false" ht="19.5" hidden="false" customHeight="true" outlineLevel="0" collapsed="false">
      <c r="A49" s="7" t="s">
        <v>39</v>
      </c>
      <c r="B49" s="7"/>
      <c r="C49" s="7"/>
      <c r="D49" s="7"/>
      <c r="E49" s="7"/>
    </row>
    <row r="50" customFormat="false" ht="15.75" hidden="false" customHeight="true" outlineLevel="0" collapsed="false">
      <c r="A50" s="6" t="s">
        <v>40</v>
      </c>
      <c r="B50" s="6"/>
      <c r="C50" s="6"/>
      <c r="D50" s="6"/>
      <c r="E50" s="6"/>
    </row>
    <row r="51" customFormat="false" ht="15" hidden="false" customHeight="false" outlineLevel="0" collapsed="false">
      <c r="A51" s="6"/>
      <c r="B51" s="6"/>
      <c r="C51" s="6"/>
      <c r="D51" s="6"/>
      <c r="E51" s="6"/>
    </row>
    <row r="53" customFormat="false" ht="24" hidden="false" customHeight="true" outlineLevel="0" collapsed="false">
      <c r="A53" s="8" t="s">
        <v>41</v>
      </c>
      <c r="B53" s="8" t="s">
        <v>42</v>
      </c>
      <c r="C53" s="8" t="s">
        <v>43</v>
      </c>
      <c r="D53" s="8" t="s">
        <v>44</v>
      </c>
      <c r="E53" s="8" t="s">
        <v>31</v>
      </c>
    </row>
    <row r="54" customFormat="false" ht="15" hidden="false" customHeight="false" outlineLevel="0" collapsed="false">
      <c r="A54" s="10" t="s">
        <v>45</v>
      </c>
      <c r="B54" s="12" t="n">
        <v>520</v>
      </c>
      <c r="C54" s="12" t="n">
        <v>200</v>
      </c>
      <c r="D54" s="12" t="n">
        <f aca="false">C54*11</f>
        <v>2200</v>
      </c>
      <c r="E54" s="22" t="n">
        <f aca="false">D54-$E$29</f>
        <v>-2327.84</v>
      </c>
    </row>
    <row r="55" customFormat="false" ht="15" hidden="false" customHeight="false" outlineLevel="0" collapsed="false">
      <c r="A55" s="10" t="s">
        <v>46</v>
      </c>
      <c r="B55" s="12" t="n">
        <v>440</v>
      </c>
      <c r="C55" s="12" t="n">
        <v>280</v>
      </c>
      <c r="D55" s="12" t="n">
        <f aca="false">C55*11</f>
        <v>3080</v>
      </c>
      <c r="E55" s="22" t="n">
        <f aca="false">D55-$E$29</f>
        <v>-1447.84</v>
      </c>
    </row>
    <row r="56" customFormat="false" ht="15" hidden="false" customHeight="false" outlineLevel="0" collapsed="false">
      <c r="A56" s="10" t="s">
        <v>47</v>
      </c>
      <c r="B56" s="12" t="n">
        <v>400</v>
      </c>
      <c r="C56" s="12" t="n">
        <v>320</v>
      </c>
      <c r="D56" s="12" t="n">
        <f aca="false">C56*11</f>
        <v>3520</v>
      </c>
      <c r="E56" s="22" t="n">
        <f aca="false">D56-$E$29</f>
        <v>-1007.84</v>
      </c>
    </row>
    <row r="57" customFormat="false" ht="15.75" hidden="false" customHeight="true" outlineLevel="0" collapsed="false">
      <c r="A57" s="23" t="s">
        <v>48</v>
      </c>
      <c r="B57" s="23"/>
      <c r="C57" s="23"/>
      <c r="D57" s="23"/>
      <c r="E57" s="23"/>
    </row>
    <row r="58" customFormat="false" ht="15" hidden="false" customHeight="false" outlineLevel="0" collapsed="false">
      <c r="A58" s="23"/>
      <c r="B58" s="23"/>
      <c r="C58" s="23"/>
      <c r="D58" s="23"/>
      <c r="E58" s="23"/>
    </row>
    <row r="60" customFormat="false" ht="15" hidden="false" customHeight="false" outlineLevel="0" collapsed="false">
      <c r="A60" s="24" t="s">
        <v>49</v>
      </c>
      <c r="B60" s="25"/>
      <c r="C60" s="25"/>
      <c r="D60" s="25"/>
      <c r="E60" s="25"/>
    </row>
    <row r="61" customFormat="false" ht="15.75" hidden="false" customHeight="true" outlineLevel="0" collapsed="false">
      <c r="A61" s="26" t="s">
        <v>50</v>
      </c>
      <c r="B61" s="26"/>
      <c r="C61" s="26"/>
      <c r="D61" s="26"/>
      <c r="E61" s="26"/>
    </row>
    <row r="62" customFormat="false" ht="15" hidden="false" customHeight="false" outlineLevel="0" collapsed="false">
      <c r="A62" s="26"/>
      <c r="B62" s="26"/>
      <c r="C62" s="26"/>
      <c r="D62" s="26"/>
      <c r="E62" s="26"/>
    </row>
  </sheetData>
  <mergeCells count="18">
    <mergeCell ref="D1:E1"/>
    <mergeCell ref="A10:E10"/>
    <mergeCell ref="A11:E11"/>
    <mergeCell ref="A14:E14"/>
    <mergeCell ref="A16:E16"/>
    <mergeCell ref="A29:C29"/>
    <mergeCell ref="A31:E31"/>
    <mergeCell ref="A32:D32"/>
    <mergeCell ref="A33:D33"/>
    <mergeCell ref="A34:D34"/>
    <mergeCell ref="A35:D35"/>
    <mergeCell ref="A36:E36"/>
    <mergeCell ref="A38:E39"/>
    <mergeCell ref="A47:E47"/>
    <mergeCell ref="A49:E49"/>
    <mergeCell ref="A50:E51"/>
    <mergeCell ref="A57:E58"/>
    <mergeCell ref="A61:E6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4"/>
  </cols>
  <sheetData>
    <row r="1" customFormat="false" ht="19.7" hidden="false" customHeight="false" outlineLevel="0" collapsed="false">
      <c r="A1" s="27" t="s">
        <v>51</v>
      </c>
    </row>
    <row r="2" customFormat="false" ht="15" hidden="false" customHeight="false" outlineLevel="0" collapsed="false">
      <c r="A2" s="28" t="s">
        <v>52</v>
      </c>
    </row>
    <row r="4" customFormat="false" ht="15" hidden="false" customHeight="false" outlineLevel="0" collapsed="false">
      <c r="A4" s="29" t="s">
        <v>53</v>
      </c>
      <c r="B4" s="30" t="s">
        <v>54</v>
      </c>
    </row>
    <row r="5" customFormat="false" ht="57.75" hidden="false" customHeight="true" outlineLevel="0" collapsed="false">
      <c r="A5" s="25"/>
      <c r="B5" s="31" t="s">
        <v>55</v>
      </c>
    </row>
    <row r="7" customFormat="false" ht="15" hidden="false" customHeight="false" outlineLevel="0" collapsed="false">
      <c r="A7" s="29" t="s">
        <v>53</v>
      </c>
      <c r="B7" s="30" t="s">
        <v>56</v>
      </c>
    </row>
    <row r="8" customFormat="false" ht="57.75" hidden="false" customHeight="true" outlineLevel="0" collapsed="false">
      <c r="A8" s="25"/>
      <c r="B8" s="31" t="s">
        <v>57</v>
      </c>
    </row>
    <row r="10" customFormat="false" ht="15" hidden="false" customHeight="false" outlineLevel="0" collapsed="false">
      <c r="A10" s="32" t="s">
        <v>58</v>
      </c>
      <c r="B10" s="1" t="s">
        <v>59</v>
      </c>
    </row>
    <row r="11" customFormat="false" ht="57.75" hidden="false" customHeight="true" outlineLevel="0" collapsed="false">
      <c r="B11" s="33" t="s">
        <v>60</v>
      </c>
    </row>
    <row r="13" customFormat="false" ht="15" hidden="false" customHeight="false" outlineLevel="0" collapsed="false">
      <c r="A13" s="34" t="s">
        <v>61</v>
      </c>
      <c r="B13" s="1" t="s">
        <v>62</v>
      </c>
    </row>
    <row r="14" customFormat="false" ht="57.75" hidden="false" customHeight="true" outlineLevel="0" collapsed="false">
      <c r="B14" s="33" t="s">
        <v>63</v>
      </c>
    </row>
    <row r="16" customFormat="false" ht="15" hidden="false" customHeight="false" outlineLevel="0" collapsed="false">
      <c r="A16" s="34" t="s">
        <v>61</v>
      </c>
      <c r="B16" s="1" t="s">
        <v>64</v>
      </c>
    </row>
    <row r="17" customFormat="false" ht="57.75" hidden="false" customHeight="true" outlineLevel="0" collapsed="false">
      <c r="B17" s="33" t="s">
        <v>65</v>
      </c>
    </row>
    <row r="19" customFormat="false" ht="15" hidden="false" customHeight="false" outlineLevel="0" collapsed="false">
      <c r="A19" s="34" t="s">
        <v>61</v>
      </c>
      <c r="B19" s="1" t="s">
        <v>66</v>
      </c>
    </row>
    <row r="20" customFormat="false" ht="57.75" hidden="false" customHeight="true" outlineLevel="0" collapsed="false">
      <c r="B20" s="33" t="s">
        <v>67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8"/>
    <col collapsed="false" customWidth="true" hidden="false" outlineLevel="0" max="5" min="5" style="0" width="26"/>
  </cols>
  <sheetData>
    <row r="1" customFormat="false" ht="19.7" hidden="false" customHeight="false" outlineLevel="0" collapsed="false">
      <c r="A1" s="27" t="s">
        <v>68</v>
      </c>
    </row>
    <row r="2" customFormat="false" ht="15" hidden="false" customHeight="false" outlineLevel="0" collapsed="false">
      <c r="A2" s="28" t="s">
        <v>69</v>
      </c>
    </row>
    <row r="4" customFormat="false" ht="15" hidden="false" customHeight="false" outlineLevel="0" collapsed="false">
      <c r="A4" s="1" t="s">
        <v>70</v>
      </c>
    </row>
    <row r="5" customFormat="false" ht="15" hidden="false" customHeight="false" outlineLevel="0" collapsed="false">
      <c r="A5" s="35"/>
      <c r="B5" s="35" t="s">
        <v>71</v>
      </c>
      <c r="C5" s="35" t="s">
        <v>72</v>
      </c>
      <c r="D5" s="35" t="s">
        <v>73</v>
      </c>
    </row>
    <row r="6" customFormat="false" ht="15" hidden="false" customHeight="false" outlineLevel="0" collapsed="false">
      <c r="A6" s="36" t="s">
        <v>74</v>
      </c>
      <c r="B6" s="37" t="s">
        <v>75</v>
      </c>
      <c r="C6" s="37" t="s">
        <v>76</v>
      </c>
      <c r="D6" s="38" t="s">
        <v>77</v>
      </c>
    </row>
    <row r="7" customFormat="false" ht="15" hidden="false" customHeight="false" outlineLevel="0" collapsed="false">
      <c r="A7" s="36" t="s">
        <v>78</v>
      </c>
      <c r="B7" s="37" t="s">
        <v>79</v>
      </c>
      <c r="C7" s="37" t="s">
        <v>80</v>
      </c>
      <c r="D7" s="38" t="s">
        <v>81</v>
      </c>
    </row>
    <row r="8" customFormat="false" ht="15" hidden="false" customHeight="false" outlineLevel="0" collapsed="false">
      <c r="A8" s="39" t="s">
        <v>82</v>
      </c>
      <c r="B8" s="40" t="s">
        <v>83</v>
      </c>
      <c r="C8" s="40" t="s">
        <v>84</v>
      </c>
      <c r="D8" s="41" t="s">
        <v>85</v>
      </c>
    </row>
    <row r="9" customFormat="false" ht="15" hidden="false" customHeight="false" outlineLevel="0" collapsed="false">
      <c r="A9" s="36" t="s">
        <v>86</v>
      </c>
      <c r="B9" s="37" t="s">
        <v>87</v>
      </c>
      <c r="C9" s="37" t="s">
        <v>88</v>
      </c>
      <c r="D9" s="38" t="s">
        <v>89</v>
      </c>
    </row>
    <row r="11" customFormat="false" ht="30" hidden="false" customHeight="true" outlineLevel="0" collapsed="false">
      <c r="A11" s="6" t="s">
        <v>90</v>
      </c>
      <c r="B11" s="6"/>
      <c r="C11" s="6"/>
      <c r="D11" s="6"/>
      <c r="E11" s="6"/>
    </row>
    <row r="12" customFormat="false" ht="15" hidden="false" customHeight="false" outlineLevel="0" collapsed="false">
      <c r="A12" s="6"/>
      <c r="B12" s="6"/>
      <c r="C12" s="6"/>
      <c r="D12" s="6"/>
      <c r="E12" s="6"/>
    </row>
    <row r="14" customFormat="false" ht="15" hidden="false" customHeight="false" outlineLevel="0" collapsed="false">
      <c r="A14" s="1" t="s">
        <v>91</v>
      </c>
    </row>
    <row r="15" customFormat="false" ht="15" hidden="false" customHeight="false" outlineLevel="0" collapsed="false">
      <c r="A15" s="42" t="s">
        <v>92</v>
      </c>
      <c r="B15" s="42" t="s">
        <v>93</v>
      </c>
      <c r="C15" s="42" t="s">
        <v>94</v>
      </c>
    </row>
    <row r="16" customFormat="false" ht="15" hidden="false" customHeight="true" outlineLevel="0" collapsed="false">
      <c r="A16" s="10" t="s">
        <v>95</v>
      </c>
      <c r="B16" s="43" t="n">
        <v>5794</v>
      </c>
      <c r="C16" s="44" t="n">
        <f aca="false">B16/$B$22</f>
        <v>0.535440347472507</v>
      </c>
      <c r="E16" s="23" t="s">
        <v>96</v>
      </c>
    </row>
    <row r="17" customFormat="false" ht="15" hidden="false" customHeight="false" outlineLevel="0" collapsed="false">
      <c r="A17" s="10" t="s">
        <v>97</v>
      </c>
      <c r="B17" s="43" t="n">
        <v>2530</v>
      </c>
      <c r="C17" s="44" t="n">
        <f aca="false">B17/$B$22</f>
        <v>0.233804639127622</v>
      </c>
      <c r="E17" s="23"/>
    </row>
    <row r="18" customFormat="false" ht="15" hidden="false" customHeight="false" outlineLevel="0" collapsed="false">
      <c r="A18" s="10" t="s">
        <v>98</v>
      </c>
      <c r="B18" s="43" t="n">
        <v>834</v>
      </c>
      <c r="C18" s="44" t="n">
        <f aca="false">B18/$B$22</f>
        <v>0.0770723593013585</v>
      </c>
      <c r="E18" s="23"/>
    </row>
    <row r="19" customFormat="false" ht="15" hidden="false" customHeight="false" outlineLevel="0" collapsed="false">
      <c r="A19" s="10" t="s">
        <v>99</v>
      </c>
      <c r="B19" s="43" t="n">
        <v>656</v>
      </c>
      <c r="C19" s="44" t="n">
        <f aca="false">B19/$B$22</f>
        <v>0.0606228629516681</v>
      </c>
      <c r="E19" s="23"/>
    </row>
    <row r="20" customFormat="false" ht="15" hidden="false" customHeight="false" outlineLevel="0" collapsed="false">
      <c r="A20" s="10" t="s">
        <v>100</v>
      </c>
      <c r="B20" s="43" t="n">
        <v>682</v>
      </c>
      <c r="C20" s="44" t="n">
        <f aca="false">B20/$B$22</f>
        <v>0.0630255983735329</v>
      </c>
      <c r="E20" s="23"/>
    </row>
    <row r="21" customFormat="false" ht="15" hidden="false" customHeight="false" outlineLevel="0" collapsed="false">
      <c r="A21" s="10" t="s">
        <v>101</v>
      </c>
      <c r="B21" s="43" t="n">
        <v>325</v>
      </c>
      <c r="C21" s="44" t="n">
        <f aca="false">B21/$B$22</f>
        <v>0.0300341927733112</v>
      </c>
    </row>
    <row r="22" customFormat="false" ht="15" hidden="false" customHeight="false" outlineLevel="0" collapsed="false">
      <c r="A22" s="13" t="s">
        <v>102</v>
      </c>
      <c r="B22" s="45" t="n">
        <f aca="false">SUM(B16:B21)</f>
        <v>10821</v>
      </c>
      <c r="C22" s="46"/>
    </row>
    <row r="24" customFormat="false" ht="15" hidden="false" customHeight="false" outlineLevel="0" collapsed="false">
      <c r="A24" s="1" t="s">
        <v>103</v>
      </c>
    </row>
    <row r="25" customFormat="false" ht="55.5" hidden="false" customHeight="true" outlineLevel="0" collapsed="false">
      <c r="A25" s="47" t="s">
        <v>104</v>
      </c>
      <c r="B25" s="6" t="s">
        <v>105</v>
      </c>
      <c r="C25" s="6"/>
      <c r="D25" s="6"/>
      <c r="E25" s="6"/>
    </row>
    <row r="26" customFormat="false" ht="55.5" hidden="false" customHeight="true" outlineLevel="0" collapsed="false">
      <c r="A26" s="47" t="s">
        <v>106</v>
      </c>
      <c r="B26" s="6" t="s">
        <v>107</v>
      </c>
      <c r="C26" s="6"/>
      <c r="D26" s="6"/>
      <c r="E26" s="6"/>
    </row>
    <row r="27" customFormat="false" ht="55.5" hidden="false" customHeight="true" outlineLevel="0" collapsed="false">
      <c r="A27" s="47" t="s">
        <v>108</v>
      </c>
      <c r="B27" s="6" t="s">
        <v>109</v>
      </c>
      <c r="C27" s="6"/>
      <c r="D27" s="6"/>
      <c r="E27" s="6"/>
    </row>
    <row r="28" customFormat="false" ht="55.5" hidden="false" customHeight="true" outlineLevel="0" collapsed="false">
      <c r="A28" s="47" t="s">
        <v>110</v>
      </c>
      <c r="B28" s="6" t="s">
        <v>111</v>
      </c>
      <c r="C28" s="6"/>
      <c r="D28" s="6"/>
      <c r="E28" s="6"/>
    </row>
    <row r="29" customFormat="false" ht="55.5" hidden="false" customHeight="true" outlineLevel="0" collapsed="false">
      <c r="A29" s="47" t="s">
        <v>112</v>
      </c>
      <c r="B29" s="6" t="s">
        <v>113</v>
      </c>
      <c r="C29" s="6"/>
      <c r="D29" s="6"/>
      <c r="E29" s="6"/>
    </row>
    <row r="31" customFormat="false" ht="60" hidden="false" customHeight="true" outlineLevel="0" collapsed="false">
      <c r="A31" s="1" t="s">
        <v>114</v>
      </c>
      <c r="B31" s="6" t="s">
        <v>115</v>
      </c>
      <c r="C31" s="6"/>
      <c r="D31" s="6"/>
      <c r="E31" s="6"/>
    </row>
  </sheetData>
  <mergeCells count="8">
    <mergeCell ref="A11:E12"/>
    <mergeCell ref="E16:E20"/>
    <mergeCell ref="B25:E25"/>
    <mergeCell ref="B26:E26"/>
    <mergeCell ref="B27:E27"/>
    <mergeCell ref="B28:E28"/>
    <mergeCell ref="B29:E29"/>
    <mergeCell ref="B31:E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2026-10-26T13:43:44Z</dcterms:created>
  <dc:creator>openpyxl</dc:creator>
  <dc:description/>
  <dc:language>en-US</dc:language>
  <cp:lastModifiedBy/>
  <dcterms:modified xsi:type="dcterms:W3CDTF">2026-10-26T13:43:44Z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