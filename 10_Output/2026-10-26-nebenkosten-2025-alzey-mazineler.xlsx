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brechnung" sheetId="1" state="visible" r:id="rId3"/>
    <sheet name="Hinweise und Fristen" sheetId="2" state="visible" r:id="rId4"/>
  </sheets>
  <definedNames>
    <definedName function="false" hidden="false" localSheetId="0" name="_xlnm.Print_Area" vbProcedure="false">Abrechnung!$A$1:$E$46</definedName>
    <definedName function="false" hidden="false" localSheetId="1" name="_xlnm.Print_Area" vbProcedure="false">'Hinweise und Fristen'!$A$1:$B$22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8" authorId="0">
      <text>
        <r>
          <rPr>
            <sz val="10"/>
            <rFont val="Arial"/>
            <family val="2"/>
          </rPr>
          <t xml:space="preserve">Techem-Abrechnung über die WEG. Enthält Heizung und Warmwasser; mit 3.325,72 € macht sie drei Viertel Ihrer gesamten Betriebskosten aus.</t>
        </r>
      </text>
    </comment>
    <comment ref="A28" authorId="0">
      <text>
        <r>
          <rPr>
            <sz val="10"/>
            <rFont val="Arial"/>
            <family val="2"/>
          </rPr>
          <t xml:space="preserve">Zahlt der Eigentümer direkt an die Stadt Alzey, läuft nicht über die Verwaltung. 123,04 € im Jahr, Messbetrag 32,38 € × Hebesatz 380 %. Nach § 2 Nr. 1 BetrKV umlagefähig, im Mietvertrag unter Ziff. 2 Nr. 1 ausdrücklich vereinbart.</t>
        </r>
      </text>
    </comment>
    <comment ref="E33" authorId="0">
      <text>
        <r>
          <rPr>
            <sz val="10"/>
            <rFont val="Arial"/>
            <family val="2"/>
          </rPr>
          <t xml:space="preserve">FEHLT: Summe der 2025 tatsächlich gezahlten Vorauszahlungen eintragen.
Laut Mietvertrag von 2021 wären es 200 € im Monat, also 2.400 €. Tatsächlich überweist Mazineler aber 720 € brutto statt der vertraglichen 600 € — die Aufteilung ist ungeklärt.
Danach rechnet sich das Ergebnis von selbst.</t>
        </r>
      </text>
    </comment>
  </commentList>
</comments>
</file>

<file path=xl/sharedStrings.xml><?xml version="1.0" encoding="utf-8"?>
<sst xmlns="http://schemas.openxmlformats.org/spreadsheetml/2006/main" count="67" uniqueCount="55">
  <si>
    <t xml:space="preserve">Sascha Coldewey</t>
  </si>
  <si>
    <t xml:space="preserve">26.10.2026</t>
  </si>
  <si>
    <t xml:space="preserve">Im Zuckergarten 28 · 55129 Mainz</t>
  </si>
  <si>
    <t xml:space="preserve">Herrn Abdurrahim Mazineler</t>
  </si>
  <si>
    <t xml:space="preserve">Langstraße 35</t>
  </si>
  <si>
    <t xml:space="preserve">55232 Alzey</t>
  </si>
  <si>
    <t xml:space="preserve">Betriebskostenabrechnung 2025</t>
  </si>
  <si>
    <t xml:space="preserve">Langstraße 35, Wohneinheit 6, 2. OG links, 55232 Alzey · Abrechnungszeitraum 01.01.2025 bis 31.12.2025 · Wohnfläche 55,45 qm</t>
  </si>
  <si>
    <t xml:space="preserve">Sehr geehrter Herr Mazineler,</t>
  </si>
  <si>
    <t xml:space="preserve">anbei erhalten Sie die Abrechnung der Betriebs- und Heizkosten für das Jahr 2025. Die zugrunde liegenden Belege können Sie nach Absprache einsehen.</t>
  </si>
  <si>
    <t xml:space="preserve">Abrechnungsposten</t>
  </si>
  <si>
    <t xml:space="preserve">Position</t>
  </si>
  <si>
    <t xml:space="preserve">Verteilt nach</t>
  </si>
  <si>
    <t xml:space="preserve">Kosten gesamt</t>
  </si>
  <si>
    <t xml:space="preserve">Ihr Anteil</t>
  </si>
  <si>
    <t xml:space="preserve">Heizung und Warmwasser</t>
  </si>
  <si>
    <t xml:space="preserve">Verbrauch, HeizkostenV</t>
  </si>
  <si>
    <t xml:space="preserve">Kaltwasser und Sonstiges</t>
  </si>
  <si>
    <t xml:space="preserve">Festbetrag</t>
  </si>
  <si>
    <t xml:space="preserve">Hausmeisterkosten</t>
  </si>
  <si>
    <t xml:space="preserve">Wohnfläche</t>
  </si>
  <si>
    <t xml:space="preserve">Gartenarbeiten</t>
  </si>
  <si>
    <t xml:space="preserve">Winterdienst</t>
  </si>
  <si>
    <t xml:space="preserve">Wartung Rauchwarnmelder</t>
  </si>
  <si>
    <t xml:space="preserve">Beleuchtung</t>
  </si>
  <si>
    <t xml:space="preserve">Müllentsorgung</t>
  </si>
  <si>
    <t xml:space="preserve">Versicherung Gebäude</t>
  </si>
  <si>
    <t xml:space="preserve">Versicherung Haftpflicht</t>
  </si>
  <si>
    <t xml:space="preserve">Grundsteuer</t>
  </si>
  <si>
    <t xml:space="preserve">direkt</t>
  </si>
  <si>
    <t xml:space="preserve">Summe der umlagefähigen Kosten</t>
  </si>
  <si>
    <t xml:space="preserve">Ergebnis</t>
  </si>
  <si>
    <t xml:space="preserve">Ihr Anteil an den Betriebs- und Heizkosten</t>
  </si>
  <si>
    <t xml:space="preserve">abzüglich Ihrer Vorauszahlungen</t>
  </si>
  <si>
    <t xml:space="preserve">Ein negatives Ergebnis ist eine Nachzahlung des Mieters, ein positives sein Guthaben.</t>
  </si>
  <si>
    <t xml:space="preserve">Eine sich ergebende Nachzahlung ist innerhalb von 30 Tagen nach Zugang dieser Abrechnung fällig. Ein Guthaben überweise ich Ihnen in derselben Frist.</t>
  </si>
  <si>
    <t xml:space="preserve">Mit freundlichen Grüßen</t>
  </si>
  <si>
    <t xml:space="preserve">Grundlage: Hausgeldabrechnung der Steinmann Immobilien für die WEG Langstraße 35+37 vom 18.06.2026, Einheit 0144.01.006.</t>
  </si>
  <si>
    <t xml:space="preserve">Was du wissen musst</t>
  </si>
  <si>
    <t xml:space="preserve">Nicht mitschicken — das ist für dich.</t>
  </si>
  <si>
    <t xml:space="preserve">WARNUNG</t>
  </si>
  <si>
    <t xml:space="preserve">Frist 31.12.2026</t>
  </si>
  <si>
    <t xml:space="preserve">Für 2025 kannst du nur bis zum 31.12.2026 abrechnen (§ 556 Abs. 3 BGB). Danach ist eine Nachforderung ausgeschlossen — ein Guthaben müsstest du trotzdem auszahlen. Bei dieser Kostenhöhe geht es um einen vierstelligen Betrag. Das ist der dringendste Punkt.</t>
  </si>
  <si>
    <t xml:space="preserve">Die Jahre davor</t>
  </si>
  <si>
    <t xml:space="preserve">2021 bis 2024 sind abgelaufen: Für jedes Jahr endete die Frist ein Jahr nach dem Abrechnungszeitraum. Nachforderungen daraus sind verloren, sofern nicht abgerechnet wurde. Allein 2024 lagen die umlagefähigen Kosten bei 5.670,68 € gegenüber vermutlich 2.400 € Vorauszahlung. Prüfen, ob dein Vater als Nießbraucher damals abgerechnet hat.</t>
  </si>
  <si>
    <t xml:space="preserve">OFFEN</t>
  </si>
  <si>
    <t xml:space="preserve">Vorauszahlung 2025</t>
  </si>
  <si>
    <t xml:space="preserve">Die einzige fehlende Zahl. Nimm die tatsächlichen Eingänge von Mazineler aus deinen Kontoauszügen 2025, nicht den Vertragswert.</t>
  </si>
  <si>
    <t xml:space="preserve">—</t>
  </si>
  <si>
    <t xml:space="preserve">Warum so teuer</t>
  </si>
  <si>
    <t xml:space="preserve">3.325,72 € Heizung und Warmwasser auf 55,45 qm sind auffällig viel — rund 60 €/qm im Jahr, etwa das Dreifache eines üblichen Werts. Entweder ist der Verbrauch hoch oder die Techem-Abrechnung lohnt einen zweiten Blick. Das betrifft dich nicht direkt, weil die Kosten umlagefähig sind, aber eine Nachzahlung in dieser Höhe wird Fragen auslösen.</t>
  </si>
  <si>
    <t xml:space="preserve">Nicht umlagefähig</t>
  </si>
  <si>
    <t xml:space="preserve">1.057,37 € bleiben bei dir: Verwaltervergütung 342,72 €, Instandhaltung 692,65 €, Rauchwarnmelder-Miete 14,36 €, Geldverkehr 7,64 €, Rücklastschrift 0,27 €. In der Anlage V als Werbungskosten ansetzen.</t>
  </si>
  <si>
    <t xml:space="preserve">Rauchwarnmelder</t>
  </si>
  <si>
    <t xml:space="preserve">Die Wartung (4,87 €) ist umlagefähig, die Miete der Geräte (14,36 €) nicht. Die Verwaltung trennt das korrekt — in der Abrechnung steht nur die Wartung.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</si>
</sst>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&quot; €&quot;;\-#,##0.00&quot; €&quot;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6"/>
      <name val="Arial"/>
      <family val="0"/>
      <charset val="1"/>
    </font>
    <font>
      <sz val="8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7"/>
      <color rgb="FF808080"/>
      <name val="Arial"/>
      <family val="0"/>
      <charset val="1"/>
    </font>
    <font>
      <sz val="10"/>
      <name val="Arial"/>
      <family val="2"/>
    </font>
    <font>
      <b val="true"/>
      <sz val="9"/>
      <color rgb="FFC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4F4F"/>
        <bgColor rgb="FF595959"/>
      </patternFill>
    </fill>
    <fill>
      <patternFill patternType="solid">
        <fgColor rgb="FFE8E8E8"/>
        <bgColor rgb="FFF2F2F2"/>
      </patternFill>
    </fill>
    <fill>
      <patternFill patternType="solid">
        <fgColor rgb="FFF2F2F2"/>
        <bgColor rgb="FFE8E8E8"/>
      </patternFill>
    </fill>
    <fill>
      <patternFill patternType="solid">
        <fgColor rgb="FFFFC7CE"/>
        <bgColor rgb="FFFCE4E4"/>
      </patternFill>
    </fill>
    <fill>
      <patternFill patternType="solid">
        <fgColor rgb="FFD9E1D9"/>
        <bgColor rgb="FFE8E8E8"/>
      </patternFill>
    </fill>
    <fill>
      <patternFill patternType="solid">
        <fgColor rgb="FFFCE4E4"/>
        <bgColor rgb="FFE8E8E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medium">
        <color rgb="FF2F4F4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E8E8"/>
      <rgbColor rgb="FF660066"/>
      <rgbColor rgb="FFFF8080"/>
      <rgbColor rgb="FF0066CC"/>
      <rgbColor rgb="FFD9E1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4E4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F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5" min="3" style="0" width="15"/>
  </cols>
  <sheetData>
    <row r="1" customFormat="false" ht="15" hidden="false" customHeight="false" outlineLevel="0" collapsed="false">
      <c r="A1" s="1" t="s">
        <v>0</v>
      </c>
      <c r="D1" s="2" t="s">
        <v>1</v>
      </c>
      <c r="E1" s="2"/>
    </row>
    <row r="2" customFormat="false" ht="15" hidden="false" customHeight="false" outlineLevel="0" collapsed="false">
      <c r="A2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10" customFormat="false" ht="19.7" hidden="false" customHeight="false" outlineLevel="0" collapsed="false">
      <c r="A10" s="4" t="s">
        <v>6</v>
      </c>
      <c r="B10" s="4"/>
      <c r="C10" s="4"/>
      <c r="D10" s="4"/>
      <c r="E10" s="4"/>
    </row>
    <row r="11" customFormat="false" ht="15" hidden="false" customHeight="false" outlineLevel="0" collapsed="false">
      <c r="A11" s="5" t="s">
        <v>7</v>
      </c>
      <c r="B11" s="5"/>
      <c r="C11" s="5"/>
      <c r="D11" s="5"/>
      <c r="E11" s="5"/>
    </row>
    <row r="13" customFormat="false" ht="15" hidden="false" customHeight="false" outlineLevel="0" collapsed="false">
      <c r="A13" s="3" t="s">
        <v>8</v>
      </c>
    </row>
    <row r="14" customFormat="false" ht="25.5" hidden="false" customHeight="true" outlineLevel="0" collapsed="false">
      <c r="A14" s="6" t="s">
        <v>9</v>
      </c>
      <c r="B14" s="6"/>
      <c r="C14" s="6"/>
      <c r="D14" s="6"/>
      <c r="E14" s="6"/>
    </row>
    <row r="16" customFormat="false" ht="19.5" hidden="false" customHeight="true" outlineLevel="0" collapsed="false">
      <c r="A16" s="7" t="s">
        <v>10</v>
      </c>
      <c r="B16" s="7"/>
      <c r="C16" s="7"/>
      <c r="D16" s="7"/>
      <c r="E16" s="7"/>
    </row>
    <row r="17" customFormat="false" ht="24" hidden="false" customHeight="true" outlineLevel="0" collapsed="false">
      <c r="A17" s="8" t="s">
        <v>11</v>
      </c>
      <c r="B17" s="8" t="s">
        <v>12</v>
      </c>
      <c r="C17" s="9"/>
      <c r="D17" s="8" t="s">
        <v>13</v>
      </c>
      <c r="E17" s="8" t="s">
        <v>14</v>
      </c>
    </row>
    <row r="18" customFormat="false" ht="15" hidden="false" customHeight="false" outlineLevel="0" collapsed="false">
      <c r="A18" s="10" t="s">
        <v>15</v>
      </c>
      <c r="B18" s="11" t="s">
        <v>16</v>
      </c>
      <c r="C18" s="10"/>
      <c r="D18" s="12" t="n">
        <v>28843.13</v>
      </c>
      <c r="E18" s="12" t="n">
        <v>3325.72</v>
      </c>
    </row>
    <row r="19" customFormat="false" ht="15" hidden="false" customHeight="false" outlineLevel="0" collapsed="false">
      <c r="A19" s="10" t="s">
        <v>17</v>
      </c>
      <c r="B19" s="11" t="s">
        <v>18</v>
      </c>
      <c r="C19" s="10"/>
      <c r="D19" s="12" t="n">
        <v>4871.29</v>
      </c>
      <c r="E19" s="12" t="n">
        <v>303.9</v>
      </c>
    </row>
    <row r="20" customFormat="false" ht="15" hidden="false" customHeight="false" outlineLevel="0" collapsed="false">
      <c r="A20" s="10" t="s">
        <v>19</v>
      </c>
      <c r="B20" s="11" t="s">
        <v>20</v>
      </c>
      <c r="C20" s="10"/>
      <c r="D20" s="12" t="n">
        <v>4141.2</v>
      </c>
      <c r="E20" s="12" t="n">
        <v>258.34</v>
      </c>
    </row>
    <row r="21" customFormat="false" ht="15" hidden="false" customHeight="false" outlineLevel="0" collapsed="false">
      <c r="A21" s="10" t="s">
        <v>21</v>
      </c>
      <c r="B21" s="11" t="s">
        <v>20</v>
      </c>
      <c r="C21" s="10"/>
      <c r="D21" s="12" t="n">
        <v>1213.8</v>
      </c>
      <c r="E21" s="12" t="n">
        <v>75.73</v>
      </c>
    </row>
    <row r="22" customFormat="false" ht="15" hidden="false" customHeight="false" outlineLevel="0" collapsed="false">
      <c r="A22" s="10" t="s">
        <v>22</v>
      </c>
      <c r="B22" s="11" t="s">
        <v>20</v>
      </c>
      <c r="C22" s="10"/>
      <c r="D22" s="12" t="n">
        <v>285.6</v>
      </c>
      <c r="E22" s="12" t="n">
        <v>17.82</v>
      </c>
    </row>
    <row r="23" customFormat="false" ht="15" hidden="false" customHeight="false" outlineLevel="0" collapsed="false">
      <c r="A23" s="10" t="s">
        <v>23</v>
      </c>
      <c r="B23" s="11" t="s">
        <v>20</v>
      </c>
      <c r="C23" s="10"/>
      <c r="D23" s="12" t="n">
        <v>78.18</v>
      </c>
      <c r="E23" s="12" t="n">
        <v>4.87</v>
      </c>
    </row>
    <row r="24" customFormat="false" ht="15" hidden="false" customHeight="false" outlineLevel="0" collapsed="false">
      <c r="A24" s="10" t="s">
        <v>24</v>
      </c>
      <c r="B24" s="11" t="s">
        <v>20</v>
      </c>
      <c r="C24" s="10"/>
      <c r="D24" s="12" t="n">
        <v>995.63</v>
      </c>
      <c r="E24" s="12" t="n">
        <v>62.11</v>
      </c>
    </row>
    <row r="25" customFormat="false" ht="15" hidden="false" customHeight="false" outlineLevel="0" collapsed="false">
      <c r="A25" s="10" t="s">
        <v>25</v>
      </c>
      <c r="B25" s="11" t="s">
        <v>20</v>
      </c>
      <c r="C25" s="10"/>
      <c r="D25" s="12" t="n">
        <v>2670.95</v>
      </c>
      <c r="E25" s="12" t="n">
        <v>166.62</v>
      </c>
    </row>
    <row r="26" customFormat="false" ht="15" hidden="false" customHeight="false" outlineLevel="0" collapsed="false">
      <c r="A26" s="10" t="s">
        <v>26</v>
      </c>
      <c r="B26" s="11" t="s">
        <v>20</v>
      </c>
      <c r="C26" s="10"/>
      <c r="D26" s="12" t="n">
        <v>2969.34</v>
      </c>
      <c r="E26" s="12" t="n">
        <v>185.24</v>
      </c>
    </row>
    <row r="27" customFormat="false" ht="15" hidden="false" customHeight="false" outlineLevel="0" collapsed="false">
      <c r="A27" s="10" t="s">
        <v>27</v>
      </c>
      <c r="B27" s="11" t="s">
        <v>20</v>
      </c>
      <c r="C27" s="10"/>
      <c r="D27" s="12" t="n">
        <v>71.4</v>
      </c>
      <c r="E27" s="12" t="n">
        <v>4.45</v>
      </c>
    </row>
    <row r="28" customFormat="false" ht="15" hidden="false" customHeight="false" outlineLevel="0" collapsed="false">
      <c r="A28" s="10" t="s">
        <v>28</v>
      </c>
      <c r="B28" s="11" t="s">
        <v>29</v>
      </c>
      <c r="C28" s="10"/>
      <c r="D28" s="12" t="n">
        <v>123.04</v>
      </c>
      <c r="E28" s="12" t="n">
        <v>123.04</v>
      </c>
    </row>
    <row r="29" customFormat="false" ht="15" hidden="false" customHeight="false" outlineLevel="0" collapsed="false">
      <c r="A29" s="13" t="s">
        <v>30</v>
      </c>
      <c r="B29" s="13"/>
      <c r="C29" s="13"/>
      <c r="D29" s="14" t="n">
        <f aca="false">SUM(D18:D28)</f>
        <v>46263.56</v>
      </c>
      <c r="E29" s="14" t="n">
        <f aca="false">SUM(E18:E28)</f>
        <v>4527.84</v>
      </c>
    </row>
    <row r="31" customFormat="false" ht="19.5" hidden="false" customHeight="true" outlineLevel="0" collapsed="false">
      <c r="A31" s="7" t="s">
        <v>31</v>
      </c>
      <c r="B31" s="7"/>
      <c r="C31" s="7"/>
      <c r="D31" s="7"/>
      <c r="E31" s="7"/>
    </row>
    <row r="32" customFormat="false" ht="15" hidden="false" customHeight="false" outlineLevel="0" collapsed="false">
      <c r="A32" s="15" t="s">
        <v>32</v>
      </c>
      <c r="B32" s="15"/>
      <c r="C32" s="15"/>
      <c r="D32" s="15"/>
      <c r="E32" s="16" t="n">
        <f aca="false">E29</f>
        <v>4527.84</v>
      </c>
    </row>
    <row r="33" customFormat="false" ht="15" hidden="false" customHeight="false" outlineLevel="0" collapsed="false">
      <c r="A33" s="15" t="s">
        <v>33</v>
      </c>
      <c r="B33" s="15"/>
      <c r="C33" s="15"/>
      <c r="D33" s="15"/>
      <c r="E33" s="17"/>
    </row>
    <row r="34" customFormat="false" ht="21.75" hidden="false" customHeight="true" outlineLevel="0" collapsed="false">
      <c r="A34" s="18" t="s">
        <v>31</v>
      </c>
      <c r="B34" s="18"/>
      <c r="C34" s="18"/>
      <c r="D34" s="18"/>
      <c r="E34" s="19" t="n">
        <f aca="false">E33-E32</f>
        <v>-4527.84</v>
      </c>
    </row>
    <row r="35" customFormat="false" ht="15" hidden="false" customHeight="false" outlineLevel="0" collapsed="false">
      <c r="A35" s="20" t="s">
        <v>34</v>
      </c>
      <c r="B35" s="20"/>
      <c r="C35" s="20"/>
      <c r="D35" s="20"/>
      <c r="E35" s="20"/>
    </row>
    <row r="37" customFormat="false" ht="15" hidden="false" customHeight="true" outlineLevel="0" collapsed="false">
      <c r="A37" s="6" t="s">
        <v>35</v>
      </c>
      <c r="B37" s="6"/>
      <c r="C37" s="6"/>
      <c r="D37" s="6"/>
      <c r="E37" s="6"/>
    </row>
    <row r="38" customFormat="false" ht="15" hidden="false" customHeight="false" outlineLevel="0" collapsed="false">
      <c r="A38" s="6"/>
      <c r="B38" s="6"/>
      <c r="C38" s="6"/>
      <c r="D38" s="6"/>
      <c r="E38" s="6"/>
    </row>
    <row r="40" customFormat="false" ht="15" hidden="false" customHeight="false" outlineLevel="0" collapsed="false">
      <c r="A40" s="3" t="s">
        <v>36</v>
      </c>
    </row>
    <row r="43" customFormat="false" ht="15" hidden="false" customHeight="false" outlineLevel="0" collapsed="false">
      <c r="A43" s="3" t="s">
        <v>0</v>
      </c>
    </row>
    <row r="45" customFormat="false" ht="15" hidden="false" customHeight="false" outlineLevel="0" collapsed="false">
      <c r="A45" s="21"/>
      <c r="B45" s="21"/>
      <c r="C45" s="21"/>
      <c r="D45" s="21"/>
      <c r="E45" s="21"/>
    </row>
    <row r="46" customFormat="false" ht="15" hidden="false" customHeight="false" outlineLevel="0" collapsed="false">
      <c r="A46" s="20" t="s">
        <v>37</v>
      </c>
      <c r="B46" s="20"/>
      <c r="C46" s="20"/>
      <c r="D46" s="20"/>
      <c r="E46" s="20"/>
    </row>
  </sheetData>
  <mergeCells count="13">
    <mergeCell ref="D1:E1"/>
    <mergeCell ref="A10:E10"/>
    <mergeCell ref="A11:E11"/>
    <mergeCell ref="A14:E14"/>
    <mergeCell ref="A16:E16"/>
    <mergeCell ref="A29:C29"/>
    <mergeCell ref="A31:E31"/>
    <mergeCell ref="A32:D32"/>
    <mergeCell ref="A33:D33"/>
    <mergeCell ref="A34:D34"/>
    <mergeCell ref="A35:E35"/>
    <mergeCell ref="A37:E38"/>
    <mergeCell ref="A46:E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4"/>
  </cols>
  <sheetData>
    <row r="1" customFormat="false" ht="19.7" hidden="false" customHeight="false" outlineLevel="0" collapsed="false">
      <c r="A1" s="22" t="s">
        <v>38</v>
      </c>
    </row>
    <row r="2" customFormat="false" ht="15" hidden="false" customHeight="false" outlineLevel="0" collapsed="false">
      <c r="A2" s="23" t="s">
        <v>39</v>
      </c>
    </row>
    <row r="4" customFormat="false" ht="15" hidden="false" customHeight="false" outlineLevel="0" collapsed="false">
      <c r="A4" s="24" t="s">
        <v>40</v>
      </c>
      <c r="B4" s="25" t="s">
        <v>41</v>
      </c>
    </row>
    <row r="5" customFormat="false" ht="57.75" hidden="false" customHeight="true" outlineLevel="0" collapsed="false">
      <c r="A5" s="26"/>
      <c r="B5" s="27" t="s">
        <v>42</v>
      </c>
    </row>
    <row r="7" customFormat="false" ht="15" hidden="false" customHeight="false" outlineLevel="0" collapsed="false">
      <c r="A7" s="24" t="s">
        <v>40</v>
      </c>
      <c r="B7" s="25" t="s">
        <v>43</v>
      </c>
    </row>
    <row r="8" customFormat="false" ht="57.75" hidden="false" customHeight="true" outlineLevel="0" collapsed="false">
      <c r="A8" s="26"/>
      <c r="B8" s="27" t="s">
        <v>44</v>
      </c>
    </row>
    <row r="10" customFormat="false" ht="15" hidden="false" customHeight="false" outlineLevel="0" collapsed="false">
      <c r="A10" s="28" t="s">
        <v>45</v>
      </c>
      <c r="B10" s="1" t="s">
        <v>46</v>
      </c>
    </row>
    <row r="11" customFormat="false" ht="57.75" hidden="false" customHeight="true" outlineLevel="0" collapsed="false">
      <c r="B11" s="29" t="s">
        <v>47</v>
      </c>
    </row>
    <row r="13" customFormat="false" ht="15" hidden="false" customHeight="false" outlineLevel="0" collapsed="false">
      <c r="A13" s="30" t="s">
        <v>48</v>
      </c>
      <c r="B13" s="1" t="s">
        <v>49</v>
      </c>
    </row>
    <row r="14" customFormat="false" ht="57.75" hidden="false" customHeight="true" outlineLevel="0" collapsed="false">
      <c r="B14" s="29" t="s">
        <v>50</v>
      </c>
    </row>
    <row r="16" customFormat="false" ht="15" hidden="false" customHeight="false" outlineLevel="0" collapsed="false">
      <c r="A16" s="30" t="s">
        <v>48</v>
      </c>
      <c r="B16" s="1" t="s">
        <v>51</v>
      </c>
    </row>
    <row r="17" customFormat="false" ht="57.75" hidden="false" customHeight="true" outlineLevel="0" collapsed="false">
      <c r="B17" s="29" t="s">
        <v>52</v>
      </c>
    </row>
    <row r="19" customFormat="false" ht="15" hidden="false" customHeight="false" outlineLevel="0" collapsed="false">
      <c r="A19" s="30" t="s">
        <v>48</v>
      </c>
      <c r="B19" s="1" t="s">
        <v>53</v>
      </c>
    </row>
    <row r="20" customFormat="false" ht="57.75" hidden="false" customHeight="true" outlineLevel="0" collapsed="false">
      <c r="B20" s="29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2026-10-26T13:03:30Z</dcterms:created>
  <dc:creator>openpyxl</dc:creator>
  <dc:description/>
  <dc:language>en-US</dc:language>
  <cp:lastModifiedBy/>
  <dcterms:modified xsi:type="dcterms:W3CDTF">2026-10-26T13:03:30Z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