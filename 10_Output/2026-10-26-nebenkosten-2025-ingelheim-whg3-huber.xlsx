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rechnung" sheetId="1" state="visible" r:id="rId3"/>
    <sheet name="Herkunft und Pruefung" sheetId="2" state="visible" r:id="rId4"/>
    <sheet name="Aus dem Protokoll" sheetId="3" state="visible" r:id="rId5"/>
  </sheets>
  <definedNames>
    <definedName function="false" hidden="false" localSheetId="0" name="_xlnm.Print_Area" vbProcedure="false">Abrechnung!$A$1:$G$52</definedName>
    <definedName function="false" hidden="false" localSheetId="2" name="_xlnm.Print_Area" vbProcedure="false">'Aus dem Protokoll'!$A$1:$B$12</definedName>
    <definedName function="false" hidden="false" localSheetId="1" name="_xlnm.Print_Area" vbProcedure="false">'Herkunft und Pruefung'!$A$1:$E$31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7" authorId="0">
      <text>
        <r>
          <rPr>
            <sz val="10"/>
            <rFont val="Arial"/>
            <family val="2"/>
          </rPr>
          <t xml:space="preserve">Grundsteuer zahlt der Eigentümer direkt an die Gemeinde, sie läuft nicht über die Hausverwaltung. Betrag nach Angabe Sascha: 13,00 €.
Umlagefähig nach § 2 Nr. 1 BetrKV.</t>
        </r>
      </text>
    </comment>
    <comment ref="A28" authorId="0">
      <text>
        <r>
          <rPr>
            <sz val="10"/>
            <rFont val="Arial"/>
            <family val="2"/>
          </rPr>
          <t xml:space="preserve">Heiz- und Warmwasserkostenabrechnung der HCo Hausverwaltung vom 02.06.2026: 30 % Grundkosten nach Wohnfläche, 70 % nach Verbrauch, wie es § 7 HeizkostenV verlangt. Warmwasser wird nicht zentral bereitet, daher 0,00 €.</t>
        </r>
      </text>
    </comment>
    <comment ref="A40" authorId="0">
      <text>
        <r>
          <rPr>
            <sz val="10"/>
            <rFont val="Arial"/>
            <family val="2"/>
          </rPr>
          <t xml:space="preserve">2.005,51 € im Jahr sind 167,13 € im Monat. 185 € lassen Luft für steigende Energiepreise. Die Herabsetzung ist nach § 560 Abs. 4 BGB zulässig und muss in Textform erklärt werden — dieser Absatz genügt dafür.
Betrag frei wählbar.</t>
        </r>
      </text>
    </comment>
    <comment ref="G35" authorId="0">
      <text>
        <r>
          <rPr>
            <sz val="10"/>
            <rFont val="Arial"/>
            <family val="2"/>
          </rPr>
          <t xml:space="preserve">ANNAHME: 300,00 € im Monat wie 2024. Vor dem Versenden gegen die tatsächlich eingegangenen Zahlungen prüfen und hier berichtigen — alles Weitere rechnet sich neu.</t>
        </r>
      </text>
    </comment>
  </commentList>
</comments>
</file>

<file path=xl/sharedStrings.xml><?xml version="1.0" encoding="utf-8"?>
<sst xmlns="http://schemas.openxmlformats.org/spreadsheetml/2006/main" count="122" uniqueCount="106">
  <si>
    <t xml:space="preserve">Sascha Coldewey</t>
  </si>
  <si>
    <t xml:space="preserve">26.10.2026</t>
  </si>
  <si>
    <t xml:space="preserve">Im Zuckergarten 28 · 55129 Mainz</t>
  </si>
  <si>
    <t xml:space="preserve">Eheleute Frank und Sabine Huber</t>
  </si>
  <si>
    <t xml:space="preserve">Im Bienengarten 23</t>
  </si>
  <si>
    <t xml:space="preserve">55218 Ingelheim am Rhein</t>
  </si>
  <si>
    <t xml:space="preserve">Betriebskostenabrechnung 2025</t>
  </si>
  <si>
    <t xml:space="preserve">Im Bienengarten 23, 55218 Ingelheim am Rhein · Wohnung 3, OG rechts · Abrechnungszeitraum 01.01.2025 bis 31.12.2025, 365 Tage</t>
  </si>
  <si>
    <t xml:space="preserve">Sehr geehrte Familie Huber,</t>
  </si>
  <si>
    <t xml:space="preserve">anbei erhalten Sie die Abrechnung der Betriebs- und Heizkosten für das Jahr 2025. Die zugrunde liegenden Belege können Sie nach Absprache einsehen.</t>
  </si>
  <si>
    <t xml:space="preserve">Abrechnungsposten</t>
  </si>
  <si>
    <t xml:space="preserve">Position</t>
  </si>
  <si>
    <t xml:space="preserve">Verteilt nach</t>
  </si>
  <si>
    <t xml:space="preserve">Gesamt-einheiten</t>
  </si>
  <si>
    <t xml:space="preserve">Ihre Einheiten</t>
  </si>
  <si>
    <t xml:space="preserve">Einh.</t>
  </si>
  <si>
    <t xml:space="preserve">Kosten gesamt</t>
  </si>
  <si>
    <t xml:space="preserve">Ihr Anteil</t>
  </si>
  <si>
    <t xml:space="preserve">Hausmeister</t>
  </si>
  <si>
    <t xml:space="preserve">Wohneinheit</t>
  </si>
  <si>
    <t xml:space="preserve">Sozialabgaben Hausmeister</t>
  </si>
  <si>
    <t xml:space="preserve">Allgemeinstrom</t>
  </si>
  <si>
    <t xml:space="preserve">Miteigentum</t>
  </si>
  <si>
    <t xml:space="preserve">MEA</t>
  </si>
  <si>
    <t xml:space="preserve">Abfallbeseitigung</t>
  </si>
  <si>
    <t xml:space="preserve">Personen×Tage</t>
  </si>
  <si>
    <t xml:space="preserve">PxT</t>
  </si>
  <si>
    <t xml:space="preserve">Wohngebäudeversicherung</t>
  </si>
  <si>
    <t xml:space="preserve">Miete Kaltwasserzähler</t>
  </si>
  <si>
    <t xml:space="preserve">Grundstückspflege</t>
  </si>
  <si>
    <t xml:space="preserve">Gartenarbeiten</t>
  </si>
  <si>
    <t xml:space="preserve">Sonstige umlagefähige Kosten</t>
  </si>
  <si>
    <t xml:space="preserve">Wohnfläche</t>
  </si>
  <si>
    <t xml:space="preserve">qm</t>
  </si>
  <si>
    <t xml:space="preserve">Grundsteuer</t>
  </si>
  <si>
    <t xml:space="preserve">direkt</t>
  </si>
  <si>
    <t xml:space="preserve">Heizung, Grundkosten</t>
  </si>
  <si>
    <t xml:space="preserve">Heizung, Verbrauch</t>
  </si>
  <si>
    <t xml:space="preserve">Wärmezähler</t>
  </si>
  <si>
    <t xml:space="preserve">MWh</t>
  </si>
  <si>
    <t xml:space="preserve">Kalt- und Abwasser</t>
  </si>
  <si>
    <t xml:space="preserve">Wasserzähler</t>
  </si>
  <si>
    <t xml:space="preserve">cbm</t>
  </si>
  <si>
    <t xml:space="preserve">Summe der umlagefähigen Kosten</t>
  </si>
  <si>
    <t xml:space="preserve">Ergebnis</t>
  </si>
  <si>
    <t xml:space="preserve">Ihr Anteil an den Betriebs- und Heizkosten</t>
  </si>
  <si>
    <t xml:space="preserve">abzüglich Ihrer Vorauszahlungen (12 × 300,00 €)</t>
  </si>
  <si>
    <t xml:space="preserve">Ihr Guthaben</t>
  </si>
  <si>
    <t xml:space="preserve">Das Guthaben überweise ich Ihnen innerhalb von 14 Tagen auf Ihr bekanntes Konto.</t>
  </si>
  <si>
    <t xml:space="preserve">Anpassung der Vorauszahlung: Ihre monatliche Vorauszahlung liegt deutlich über den tatsächlichen Kosten. Ab dem nächsten Monat setze ich sie auf 185,00 € herab. Damit entsteht weder für Sie noch für mich eine größere Nachzahlung.</t>
  </si>
  <si>
    <t xml:space="preserve">Die Bescheinigung über haushaltsnahe Dienstleistungen und Handwerkerleistungen nach § 35a EStG liegt bei. Sie können daraus 295,69 € und 175,43 € in Ihrer Einkommensteuererklärung geltend machen.</t>
  </si>
  <si>
    <t xml:space="preserve">Mit freundlichen Grüßen</t>
  </si>
  <si>
    <t xml:space="preserve">Grundlagen: Einzelabrechnung der HCo Hausverwaltung GmbH vom 31.07.2026 und Heizkostenabrechnung vom 02.06.2026, beide für die WEG-Anlage 310.</t>
  </si>
  <si>
    <t xml:space="preserve">Woher die Zahlen kommen</t>
  </si>
  <si>
    <t xml:space="preserve">Für deine Unterlagen und für den Fall, dass Huber nachfragt. Nicht mitschicken.</t>
  </si>
  <si>
    <t xml:space="preserve">Abgleich mit der WEG-Abrechnung</t>
  </si>
  <si>
    <t xml:space="preserve">Umlagefähige Kosten laut WEG-Einzelabrechnung</t>
  </si>
  <si>
    <t xml:space="preserve">Die Verwaltung trennt bereits sauber: „Zur Umlage auf Bewohner Huber Frank bestimmte Kosten“.</t>
  </si>
  <si>
    <t xml:space="preserve">zuzüglich Grundsteuer</t>
  </si>
  <si>
    <t xml:space="preserve">Läuft nicht über die WEG, zahlst du direkt. Nach deiner Angabe 13,00 € (2024: 11,95 €).</t>
  </si>
  <si>
    <t xml:space="preserve">Summe der Mieterabrechnung</t>
  </si>
  <si>
    <t xml:space="preserve">Nicht umlagefähig — bleibt bei dir</t>
  </si>
  <si>
    <t xml:space="preserve">Verwaltervergütung</t>
  </si>
  <si>
    <t xml:space="preserve">Diese Positionen darf ein Vermieter nicht auf den Mieter umlegen. Sie mindern aber deine Einkünfte aus Vermietung und Verpachtung — in der Anlage V geltend machen.</t>
  </si>
  <si>
    <t xml:space="preserve">Lohnbuchhaltung</t>
  </si>
  <si>
    <t xml:space="preserve">Kosten der Verwaltung</t>
  </si>
  <si>
    <t xml:space="preserve">Anschaffungen</t>
  </si>
  <si>
    <t xml:space="preserve">Kontoführungsgebühren</t>
  </si>
  <si>
    <t xml:space="preserve">Porto- und Kopierkosten</t>
  </si>
  <si>
    <t xml:space="preserve">Reparaturen/Instandhaltung</t>
  </si>
  <si>
    <t xml:space="preserve">Zuführung Erhaltungsrücklage</t>
  </si>
  <si>
    <t xml:space="preserve">Summe</t>
  </si>
  <si>
    <t xml:space="preserve">Vergleich mit 2024</t>
  </si>
  <si>
    <t xml:space="preserve">2024</t>
  </si>
  <si>
    <t xml:space="preserve">2025</t>
  </si>
  <si>
    <t xml:space="preserve">Umlagefähige Kosten gesamt</t>
  </si>
  <si>
    <t xml:space="preserve">Plus 214,27 € oder 12 %. Der Anstieg kommt allein von Heizung und Wasser; Kabelfernsehen ist seit dem 01.07.2024 nicht mehr umlagefähig und 2025 zu Recht ganz entfallen.</t>
  </si>
  <si>
    <t xml:space="preserve">davon Heizung, Wasser, Abwasser</t>
  </si>
  <si>
    <t xml:space="preserve">Kabelfernsehen</t>
  </si>
  <si>
    <t xml:space="preserve">Vor dem Versenden</t>
  </si>
  <si>
    <t xml:space="preserve">Vorauszahlungen 2025</t>
  </si>
  <si>
    <t xml:space="preserve">Die 3.600 € sind aus 2024 übernommen. Gegen die tatsächlichen Eingänge auf deinem Konto prüfen und in der Abrechnung berichtigen.</t>
  </si>
  <si>
    <t xml:space="preserve">Abrechnungsfrist</t>
  </si>
  <si>
    <t xml:space="preserve">Für 2025 läuft sie am 31.12.2026 ab (§ 556 Abs. 3 BGB). Danach kannst du nichts mehr nachfordern. Da es ein Guthaben ist, droht dir kein Verlust — aber die Herabsetzung der Vorauszahlung willst du rechtzeitig wirksam machen.</t>
  </si>
  <si>
    <t xml:space="preserve">2,55 € ohne nähere Bezeichnung. Beim Verwalter erfragen, was dahinter steckt — ein Mieter darf das wissen wollen.</t>
  </si>
  <si>
    <t xml:space="preserve">9,63 € sind umlagefähig (§ 2 Nr. 2 BetrKV). Nicht zu verwechseln mit der Miete von Rauchwarnmeldern, die es nicht wäre.</t>
  </si>
  <si>
    <t xml:space="preserve">Belegeinsicht</t>
  </si>
  <si>
    <t xml:space="preserve">Du musst sie gewähren, wenn Huber darum bittet. Die Unterlagen der Verwaltung bereithalten.</t>
  </si>
  <si>
    <t xml:space="preserve">Was dich aus der Eigentümerversammlung betrifft</t>
  </si>
  <si>
    <t xml:space="preserve">17. Eigentümerversammlung am 15.08.2026, Protokoll von Tim Poss. Nur die Punkte, die deine Wohnung oder deinen Mieter angehen.</t>
  </si>
  <si>
    <t xml:space="preserve">Abrechnung 2025 beschlossen</t>
  </si>
  <si>
    <t xml:space="preserve">TOP 4.1: Die Hausgeldabrechnung 2025 wurde angenommen, Guthaben der Gemeinschaft 7.619,65 €, keine Nachschüsse. Damit steht deine Einzelabrechnung fest und du kannst sie der Mieterabrechnung zugrunde legen.</t>
  </si>
  <si>
    <t xml:space="preserve">Dein Guthaben 1.090,50 €</t>
  </si>
  <si>
    <t xml:space="preserve">Vom Abrechnungsguthaben 1.390,48 € zieht die WEG deinen Anteil am nicht verbrauchten Reparaturbudget ab (299,98 €). Die Verwaltung erstattet „je nach Liquiditätslage“ — und bittet um deine Bankverbindung. Die hast du ihr vermutlich noch nicht genannt, sonst wäre das Geld da. Kurze Mail genügt.</t>
  </si>
  <si>
    <t xml:space="preserve">Deine Mieterin geht direkt an die Verwaltung</t>
  </si>
  <si>
    <t xml:space="preserve">TOP 4.8: Frau Huber hat Rückschnitt des Baumes und Reinigung der Treppenaußenfenster direkt bei der Hausverwaltung angemeldet. Die Verwaltung hat sie darauf hingewiesen, dass sie nur mit den Eigentümern einen Vertrag hat und Anliegen zuerst an dich gehen. Beides wurde trotzdem erledigt — aber kläre mit ihr, dass sie sich künftig an dich wendet.</t>
  </si>
  <si>
    <t xml:space="preserve">Blumenkästen</t>
  </si>
  <si>
    <t xml:space="preserve">TOP 5: Laut Hausordnung müssen Blumenkästen auf den Balkonen nach innen hängen. Die eurer Wohnung hängen nach außen. Im Protokoll steht „Eigentümer Huber“ — gemeint bist du, denn Eigentümer bist du. Bitte deine Mieter, das zu ändern.</t>
  </si>
  <si>
    <t xml:space="preserve">Neue Kosten ab 2026</t>
  </si>
  <si>
    <t xml:space="preserve">Herr Wolf reinigt die Treppenaußenfenster künftig zweimal im Jahr für 35 € plus Steuer, das sind rund 83 € im Jahr für die ganze Anlage. Umlagefähig nur, wenn dein Mietvertrag „sonstige Betriebskosten“ benennt. In der Abrechnung 2026 taucht das zum ersten Mal auf.</t>
  </si>
  <si>
    <t xml:space="preserve">Hausgeld steigt zum 01.09.2026</t>
  </si>
  <si>
    <t xml:space="preserve">TOP 4.4: Der Wirtschaftsplan 2026/2027 wurde beschlossen, Gesamtvolumen 22.927,12 €. Die Hausgelder werden zum 01.09.2026 angepasst, wenn die Abweichung über 9,99 € im Monat liegt. Prüf deinen Dauerauftrag — bisher 380 € im Monat.</t>
  </si>
  <si>
    <t xml:space="preserve">Rauchwarnmelder und Fugen</t>
  </si>
  <si>
    <t xml:space="preserve">TOP 5: Die Wartung der Rauchwarnmelder und deren Dokumentation ist Eigentümerpflicht, also deine. Empfohlen wird zusätzlich eine jährliche Prüfung der Silikonfugen in Bad, Küche und Balkon sowie der Absperrhähne.</t>
  </si>
  <si>
    <t xml:space="preserve">Wärmepumpe weiter mängelbehaftet</t>
  </si>
  <si>
    <t xml:space="preserve">TOP 5: Die vor zwei Jahren eingebaute Wärmepumpe hat offene Mängel, vor allem zu laut. Eine Einhausung ist geplant. Für die Abrechnung ohne Folge, aber der Grund, warum die Heizkosten 2025 um 343 € über 2024 liegen, kann auch hier stecken — die Auswertung zu Einsparungen will die Verwaltung den Eigentümern zur Verfügung stellen. Anfordern.</t>
  </si>
</sst>
</file>

<file path=xl/styles.xml><?xml version="1.0" encoding="utf-8"?>
<styleSheet xmlns="http://schemas.openxmlformats.org/spreadsheetml/2006/main">
  <numFmts count="3">
    <numFmt numFmtId="164" formatCode="General"/>
    <numFmt numFmtId="165" formatCode="#,##0.000"/>
    <numFmt numFmtId="166" formatCode="#,##0.00&quot; €&quot;;\-#,##0.00&quot; €&quot;;\-"/>
  </numFmts>
  <fonts count="14">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6"/>
      <name val="Arial"/>
      <family val="0"/>
      <charset val="1"/>
    </font>
    <font>
      <sz val="8"/>
      <color rgb="FF595959"/>
      <name val="Arial"/>
      <family val="0"/>
      <charset val="1"/>
    </font>
    <font>
      <b val="true"/>
      <sz val="11"/>
      <color rgb="FFFFFFFF"/>
      <name val="Arial"/>
      <family val="0"/>
      <charset val="1"/>
    </font>
    <font>
      <b val="true"/>
      <sz val="9"/>
      <name val="Arial"/>
      <family val="0"/>
      <charset val="1"/>
    </font>
    <font>
      <sz val="10"/>
      <color rgb="FF0000FF"/>
      <name val="Arial"/>
      <family val="0"/>
      <charset val="1"/>
    </font>
    <font>
      <b val="true"/>
      <sz val="12"/>
      <name val="Arial"/>
      <family val="0"/>
      <charset val="1"/>
    </font>
    <font>
      <sz val="7"/>
      <color rgb="FF808080"/>
      <name val="Arial"/>
      <family val="0"/>
      <charset val="1"/>
    </font>
    <font>
      <sz val="10"/>
      <name val="Arial"/>
      <family val="2"/>
    </font>
  </fonts>
  <fills count="7">
    <fill>
      <patternFill patternType="none"/>
    </fill>
    <fill>
      <patternFill patternType="gray125"/>
    </fill>
    <fill>
      <patternFill patternType="solid">
        <fgColor rgb="FF2F4F4F"/>
        <bgColor rgb="FF595959"/>
      </patternFill>
    </fill>
    <fill>
      <patternFill patternType="solid">
        <fgColor rgb="FFE8E8E8"/>
        <bgColor rgb="FFF2F2F2"/>
      </patternFill>
    </fill>
    <fill>
      <patternFill patternType="solid">
        <fgColor rgb="FFF2F2F2"/>
        <bgColor rgb="FFE8E8E8"/>
      </patternFill>
    </fill>
    <fill>
      <patternFill patternType="solid">
        <fgColor rgb="FFFFFF99"/>
        <bgColor rgb="FFF2F2F2"/>
      </patternFill>
    </fill>
    <fill>
      <patternFill patternType="solid">
        <fgColor rgb="FFD9E1D9"/>
        <bgColor rgb="FFE8E8E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2F4F4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6" fontId="4" fillId="4"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E8E8"/>
      <rgbColor rgb="FF660066"/>
      <rgbColor rgb="FFFF8080"/>
      <rgbColor rgb="FF0066CC"/>
      <rgbColor rgb="FFD9E1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4" min="3" style="0" width="11"/>
    <col collapsed="false" customWidth="true" hidden="false" outlineLevel="0" max="5" min="5" style="0" width="6"/>
    <col collapsed="false" customWidth="true" hidden="false" outlineLevel="0" max="7" min="6" style="0" width="13"/>
  </cols>
  <sheetData>
    <row r="1" customFormat="false" ht="15" hidden="false" customHeight="false" outlineLevel="0" collapsed="false">
      <c r="A1" s="1" t="s">
        <v>0</v>
      </c>
      <c r="F1" s="2" t="s">
        <v>1</v>
      </c>
      <c r="G1" s="2"/>
    </row>
    <row r="2" customFormat="false" ht="15" hidden="false" customHeight="false" outlineLevel="0" collapsed="false">
      <c r="A2" s="3"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10" customFormat="false" ht="19.7" hidden="false" customHeight="false" outlineLevel="0" collapsed="false">
      <c r="A10" s="4" t="s">
        <v>6</v>
      </c>
      <c r="B10" s="4"/>
      <c r="C10" s="4"/>
      <c r="D10" s="4"/>
      <c r="E10" s="4"/>
      <c r="F10" s="4"/>
      <c r="G10" s="4"/>
    </row>
    <row r="11" customFormat="false" ht="15" hidden="false" customHeight="false" outlineLevel="0" collapsed="false">
      <c r="A11" s="5" t="s">
        <v>7</v>
      </c>
      <c r="B11" s="5"/>
      <c r="C11" s="5"/>
      <c r="D11" s="5"/>
      <c r="E11" s="5"/>
      <c r="F11" s="5"/>
      <c r="G11" s="5"/>
    </row>
    <row r="13" customFormat="false" ht="15" hidden="false" customHeight="false" outlineLevel="0" collapsed="false">
      <c r="A13" s="6" t="s">
        <v>8</v>
      </c>
      <c r="B13" s="6"/>
      <c r="C13" s="6"/>
      <c r="D13" s="6"/>
      <c r="E13" s="6"/>
      <c r="F13" s="6"/>
      <c r="G13" s="6"/>
    </row>
    <row r="14" customFormat="false" ht="25.5" hidden="false" customHeight="true" outlineLevel="0" collapsed="false">
      <c r="A14" s="7" t="s">
        <v>9</v>
      </c>
      <c r="B14" s="7"/>
      <c r="C14" s="7"/>
      <c r="D14" s="7"/>
      <c r="E14" s="7"/>
      <c r="F14" s="7"/>
      <c r="G14" s="7"/>
    </row>
    <row r="16" customFormat="false" ht="19.5" hidden="false" customHeight="true" outlineLevel="0" collapsed="false">
      <c r="A16" s="8" t="s">
        <v>10</v>
      </c>
      <c r="B16" s="8"/>
      <c r="C16" s="8"/>
      <c r="D16" s="8"/>
      <c r="E16" s="8"/>
      <c r="F16" s="8"/>
      <c r="G16" s="8"/>
    </row>
    <row r="17" customFormat="false" ht="27.75" hidden="false" customHeight="true" outlineLevel="0" collapsed="false">
      <c r="A17" s="9" t="s">
        <v>11</v>
      </c>
      <c r="B17" s="9" t="s">
        <v>12</v>
      </c>
      <c r="C17" s="9" t="s">
        <v>13</v>
      </c>
      <c r="D17" s="9" t="s">
        <v>14</v>
      </c>
      <c r="E17" s="9" t="s">
        <v>15</v>
      </c>
      <c r="F17" s="9" t="s">
        <v>16</v>
      </c>
      <c r="G17" s="9" t="s">
        <v>17</v>
      </c>
    </row>
    <row r="18" customFormat="false" ht="15" hidden="false" customHeight="false" outlineLevel="0" collapsed="false">
      <c r="A18" s="10" t="s">
        <v>18</v>
      </c>
      <c r="B18" s="11" t="s">
        <v>19</v>
      </c>
      <c r="C18" s="12" t="n">
        <v>7</v>
      </c>
      <c r="D18" s="12" t="n">
        <v>1</v>
      </c>
      <c r="E18" s="13" t="s">
        <v>15</v>
      </c>
      <c r="F18" s="14" t="n">
        <v>1538.4</v>
      </c>
      <c r="G18" s="14" t="n">
        <v>219.77</v>
      </c>
    </row>
    <row r="19" customFormat="false" ht="15" hidden="false" customHeight="false" outlineLevel="0" collapsed="false">
      <c r="A19" s="10" t="s">
        <v>20</v>
      </c>
      <c r="B19" s="11" t="s">
        <v>19</v>
      </c>
      <c r="C19" s="12" t="n">
        <v>7</v>
      </c>
      <c r="D19" s="12" t="n">
        <v>1</v>
      </c>
      <c r="E19" s="13" t="s">
        <v>15</v>
      </c>
      <c r="F19" s="14" t="n">
        <v>531.39</v>
      </c>
      <c r="G19" s="14" t="n">
        <v>75.91</v>
      </c>
    </row>
    <row r="20" customFormat="false" ht="15" hidden="false" customHeight="false" outlineLevel="0" collapsed="false">
      <c r="A20" s="10" t="s">
        <v>21</v>
      </c>
      <c r="B20" s="11" t="s">
        <v>22</v>
      </c>
      <c r="C20" s="12" t="n">
        <v>1000</v>
      </c>
      <c r="D20" s="12" t="n">
        <v>159.67</v>
      </c>
      <c r="E20" s="13" t="s">
        <v>23</v>
      </c>
      <c r="F20" s="14" t="n">
        <v>49.25</v>
      </c>
      <c r="G20" s="14" t="n">
        <v>7.86</v>
      </c>
    </row>
    <row r="21" customFormat="false" ht="15" hidden="false" customHeight="false" outlineLevel="0" collapsed="false">
      <c r="A21" s="10" t="s">
        <v>24</v>
      </c>
      <c r="B21" s="11" t="s">
        <v>25</v>
      </c>
      <c r="C21" s="12" t="n">
        <v>4015</v>
      </c>
      <c r="D21" s="12" t="n">
        <v>365</v>
      </c>
      <c r="E21" s="13" t="s">
        <v>26</v>
      </c>
      <c r="F21" s="14" t="n">
        <v>596.6</v>
      </c>
      <c r="G21" s="14" t="n">
        <v>54.24</v>
      </c>
    </row>
    <row r="22" customFormat="false" ht="15" hidden="false" customHeight="false" outlineLevel="0" collapsed="false">
      <c r="A22" s="10" t="s">
        <v>27</v>
      </c>
      <c r="B22" s="11" t="s">
        <v>22</v>
      </c>
      <c r="C22" s="12" t="n">
        <v>1000</v>
      </c>
      <c r="D22" s="12" t="n">
        <v>159.67</v>
      </c>
      <c r="E22" s="13" t="s">
        <v>23</v>
      </c>
      <c r="F22" s="14" t="n">
        <v>1490.57</v>
      </c>
      <c r="G22" s="14" t="n">
        <v>238</v>
      </c>
    </row>
    <row r="23" customFormat="false" ht="15" hidden="false" customHeight="false" outlineLevel="0" collapsed="false">
      <c r="A23" s="10" t="s">
        <v>28</v>
      </c>
      <c r="B23" s="11" t="s">
        <v>19</v>
      </c>
      <c r="C23" s="12" t="n">
        <v>7</v>
      </c>
      <c r="D23" s="12" t="n">
        <v>1</v>
      </c>
      <c r="E23" s="13" t="s">
        <v>15</v>
      </c>
      <c r="F23" s="14" t="n">
        <v>67.4</v>
      </c>
      <c r="G23" s="14" t="n">
        <v>9.63</v>
      </c>
    </row>
    <row r="24" customFormat="false" ht="15" hidden="false" customHeight="false" outlineLevel="0" collapsed="false">
      <c r="A24" s="10" t="s">
        <v>29</v>
      </c>
      <c r="B24" s="11" t="s">
        <v>22</v>
      </c>
      <c r="C24" s="12" t="n">
        <v>1000</v>
      </c>
      <c r="D24" s="12" t="n">
        <v>159.67</v>
      </c>
      <c r="E24" s="13" t="s">
        <v>23</v>
      </c>
      <c r="F24" s="14" t="n">
        <v>48.95</v>
      </c>
      <c r="G24" s="14" t="n">
        <v>7.82</v>
      </c>
    </row>
    <row r="25" customFormat="false" ht="15" hidden="false" customHeight="false" outlineLevel="0" collapsed="false">
      <c r="A25" s="10" t="s">
        <v>30</v>
      </c>
      <c r="B25" s="11" t="s">
        <v>22</v>
      </c>
      <c r="C25" s="12" t="n">
        <v>1000</v>
      </c>
      <c r="D25" s="12" t="n">
        <v>159.67</v>
      </c>
      <c r="E25" s="13" t="s">
        <v>23</v>
      </c>
      <c r="F25" s="14" t="n">
        <v>400</v>
      </c>
      <c r="G25" s="14" t="n">
        <v>63.87</v>
      </c>
    </row>
    <row r="26" customFormat="false" ht="15" hidden="false" customHeight="false" outlineLevel="0" collapsed="false">
      <c r="A26" s="10" t="s">
        <v>31</v>
      </c>
      <c r="B26" s="11" t="s">
        <v>32</v>
      </c>
      <c r="C26" s="12" t="n">
        <v>413.79</v>
      </c>
      <c r="D26" s="12" t="n">
        <v>66.07</v>
      </c>
      <c r="E26" s="13" t="s">
        <v>33</v>
      </c>
      <c r="F26" s="14" t="n">
        <v>15.96</v>
      </c>
      <c r="G26" s="14" t="n">
        <v>2.55</v>
      </c>
    </row>
    <row r="27" customFormat="false" ht="15" hidden="false" customHeight="false" outlineLevel="0" collapsed="false">
      <c r="A27" s="10" t="s">
        <v>34</v>
      </c>
      <c r="B27" s="11" t="s">
        <v>35</v>
      </c>
      <c r="C27" s="10"/>
      <c r="D27" s="10"/>
      <c r="E27" s="13"/>
      <c r="F27" s="14" t="n">
        <v>13</v>
      </c>
      <c r="G27" s="14" t="n">
        <v>13</v>
      </c>
    </row>
    <row r="28" customFormat="false" ht="15" hidden="false" customHeight="false" outlineLevel="0" collapsed="false">
      <c r="A28" s="10" t="s">
        <v>36</v>
      </c>
      <c r="B28" s="11" t="s">
        <v>32</v>
      </c>
      <c r="C28" s="12" t="n">
        <v>413.79</v>
      </c>
      <c r="D28" s="12" t="n">
        <v>66.07</v>
      </c>
      <c r="E28" s="13" t="s">
        <v>33</v>
      </c>
      <c r="F28" s="14" t="n">
        <v>1357.28</v>
      </c>
      <c r="G28" s="14" t="n">
        <v>216.72</v>
      </c>
    </row>
    <row r="29" customFormat="false" ht="15" hidden="false" customHeight="false" outlineLevel="0" collapsed="false">
      <c r="A29" s="10" t="s">
        <v>37</v>
      </c>
      <c r="B29" s="11" t="s">
        <v>38</v>
      </c>
      <c r="C29" s="12" t="n">
        <v>28.892</v>
      </c>
      <c r="D29" s="12" t="n">
        <v>6.814</v>
      </c>
      <c r="E29" s="13" t="s">
        <v>39</v>
      </c>
      <c r="F29" s="14" t="n">
        <v>3167</v>
      </c>
      <c r="G29" s="14" t="n">
        <v>746.92</v>
      </c>
    </row>
    <row r="30" customFormat="false" ht="15" hidden="false" customHeight="false" outlineLevel="0" collapsed="false">
      <c r="A30" s="10" t="s">
        <v>40</v>
      </c>
      <c r="B30" s="11" t="s">
        <v>41</v>
      </c>
      <c r="C30" s="12" t="n">
        <v>363.242</v>
      </c>
      <c r="D30" s="12" t="n">
        <v>62.273</v>
      </c>
      <c r="E30" s="13" t="s">
        <v>42</v>
      </c>
      <c r="F30" s="14" t="n">
        <v>2037.04</v>
      </c>
      <c r="G30" s="14" t="n">
        <v>349.22</v>
      </c>
    </row>
    <row r="31" customFormat="false" ht="15" hidden="false" customHeight="false" outlineLevel="0" collapsed="false">
      <c r="A31" s="15" t="s">
        <v>43</v>
      </c>
      <c r="B31" s="15"/>
      <c r="C31" s="15"/>
      <c r="D31" s="15"/>
      <c r="E31" s="15"/>
      <c r="F31" s="16" t="n">
        <f aca="false">SUM(F18:F30)</f>
        <v>11312.84</v>
      </c>
      <c r="G31" s="16" t="n">
        <f aca="false">SUM(G18:G30)</f>
        <v>2005.51</v>
      </c>
    </row>
    <row r="33" customFormat="false" ht="19.5" hidden="false" customHeight="true" outlineLevel="0" collapsed="false">
      <c r="A33" s="8" t="s">
        <v>44</v>
      </c>
      <c r="B33" s="8"/>
      <c r="C33" s="8"/>
      <c r="D33" s="8"/>
      <c r="E33" s="8"/>
      <c r="F33" s="8"/>
      <c r="G33" s="8"/>
    </row>
    <row r="34" customFormat="false" ht="15" hidden="false" customHeight="false" outlineLevel="0" collapsed="false">
      <c r="A34" s="6" t="s">
        <v>45</v>
      </c>
      <c r="B34" s="6"/>
      <c r="C34" s="6"/>
      <c r="D34" s="6"/>
      <c r="E34" s="6"/>
      <c r="F34" s="6"/>
      <c r="G34" s="17" t="n">
        <f aca="false">G31</f>
        <v>2005.51</v>
      </c>
    </row>
    <row r="35" customFormat="false" ht="15" hidden="false" customHeight="false" outlineLevel="0" collapsed="false">
      <c r="A35" s="6" t="s">
        <v>46</v>
      </c>
      <c r="B35" s="6"/>
      <c r="C35" s="6"/>
      <c r="D35" s="6"/>
      <c r="E35" s="6"/>
      <c r="F35" s="6"/>
      <c r="G35" s="18" t="n">
        <v>3600</v>
      </c>
    </row>
    <row r="36" customFormat="false" ht="21.75" hidden="false" customHeight="true" outlineLevel="0" collapsed="false">
      <c r="A36" s="19" t="s">
        <v>47</v>
      </c>
      <c r="B36" s="19"/>
      <c r="C36" s="19"/>
      <c r="D36" s="19"/>
      <c r="E36" s="19"/>
      <c r="F36" s="19"/>
      <c r="G36" s="20" t="n">
        <f aca="false">G35-G34</f>
        <v>1594.49</v>
      </c>
    </row>
    <row r="38" customFormat="false" ht="15" hidden="false" customHeight="false" outlineLevel="0" collapsed="false">
      <c r="A38" s="6" t="s">
        <v>48</v>
      </c>
      <c r="B38" s="6"/>
      <c r="C38" s="6"/>
      <c r="D38" s="6"/>
      <c r="E38" s="6"/>
      <c r="F38" s="6"/>
      <c r="G38" s="6"/>
    </row>
    <row r="40" customFormat="false" ht="15.75" hidden="false" customHeight="true" outlineLevel="0" collapsed="false">
      <c r="A40" s="7" t="s">
        <v>49</v>
      </c>
      <c r="B40" s="7"/>
      <c r="C40" s="7"/>
      <c r="D40" s="7"/>
      <c r="E40" s="7"/>
      <c r="F40" s="7"/>
      <c r="G40" s="7"/>
    </row>
    <row r="41" customFormat="false" ht="15" hidden="false" customHeight="false" outlineLevel="0" collapsed="false">
      <c r="A41" s="7"/>
      <c r="B41" s="7"/>
      <c r="C41" s="7"/>
      <c r="D41" s="7"/>
      <c r="E41" s="7"/>
      <c r="F41" s="7"/>
      <c r="G41" s="7"/>
    </row>
    <row r="43" customFormat="false" ht="15" hidden="false" customHeight="true" outlineLevel="0" collapsed="false">
      <c r="A43" s="7" t="s">
        <v>50</v>
      </c>
      <c r="B43" s="7"/>
      <c r="C43" s="7"/>
      <c r="D43" s="7"/>
      <c r="E43" s="7"/>
      <c r="F43" s="7"/>
      <c r="G43" s="7"/>
    </row>
    <row r="44" customFormat="false" ht="15" hidden="false" customHeight="false" outlineLevel="0" collapsed="false">
      <c r="A44" s="7"/>
      <c r="B44" s="7"/>
      <c r="C44" s="7"/>
      <c r="D44" s="7"/>
      <c r="E44" s="7"/>
      <c r="F44" s="7"/>
      <c r="G44" s="7"/>
    </row>
    <row r="46" customFormat="false" ht="15" hidden="false" customHeight="false" outlineLevel="0" collapsed="false">
      <c r="A46" s="3" t="s">
        <v>51</v>
      </c>
    </row>
    <row r="49" customFormat="false" ht="15" hidden="false" customHeight="false" outlineLevel="0" collapsed="false">
      <c r="A49" s="3" t="s">
        <v>0</v>
      </c>
    </row>
    <row r="51" customFormat="false" ht="15" hidden="false" customHeight="false" outlineLevel="0" collapsed="false">
      <c r="A51" s="21"/>
      <c r="B51" s="21"/>
      <c r="C51" s="21"/>
      <c r="D51" s="21"/>
      <c r="E51" s="21"/>
      <c r="F51" s="21"/>
      <c r="G51" s="21"/>
    </row>
    <row r="52" customFormat="false" ht="15" hidden="false" customHeight="false" outlineLevel="0" collapsed="false">
      <c r="A52" s="22" t="s">
        <v>52</v>
      </c>
      <c r="B52" s="22"/>
      <c r="C52" s="22"/>
      <c r="D52" s="22"/>
      <c r="E52" s="22"/>
      <c r="F52" s="22"/>
      <c r="G52" s="22"/>
    </row>
  </sheetData>
  <mergeCells count="15">
    <mergeCell ref="F1:G1"/>
    <mergeCell ref="A10:G10"/>
    <mergeCell ref="A11:G11"/>
    <mergeCell ref="A13:G13"/>
    <mergeCell ref="A14:G14"/>
    <mergeCell ref="A16:G16"/>
    <mergeCell ref="A31:E31"/>
    <mergeCell ref="A33:G33"/>
    <mergeCell ref="A34:F34"/>
    <mergeCell ref="A35:F35"/>
    <mergeCell ref="A36:F36"/>
    <mergeCell ref="A38:G38"/>
    <mergeCell ref="A40:G41"/>
    <mergeCell ref="A43:G44"/>
    <mergeCell ref="A52:G5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4"/>
    <col collapsed="false" customWidth="true" hidden="false" outlineLevel="0" max="4" min="4" style="0" width="12"/>
    <col collapsed="false" customWidth="true" hidden="false" outlineLevel="0" max="5" min="5" style="0" width="58"/>
  </cols>
  <sheetData>
    <row r="1" customFormat="false" ht="19.7" hidden="false" customHeight="false" outlineLevel="0" collapsed="false">
      <c r="A1" s="23" t="s">
        <v>53</v>
      </c>
    </row>
    <row r="2" customFormat="false" ht="15" hidden="false" customHeight="false" outlineLevel="0" collapsed="false">
      <c r="A2" s="24" t="s">
        <v>54</v>
      </c>
    </row>
    <row r="4" customFormat="false" ht="15" hidden="false" customHeight="false" outlineLevel="0" collapsed="false">
      <c r="A4" s="1" t="s">
        <v>55</v>
      </c>
    </row>
    <row r="5" customFormat="false" ht="25.5" hidden="false" customHeight="true" outlineLevel="0" collapsed="false">
      <c r="A5" s="3" t="s">
        <v>56</v>
      </c>
      <c r="C5" s="14" t="n">
        <v>1992.51</v>
      </c>
      <c r="E5" s="25" t="s">
        <v>57</v>
      </c>
    </row>
    <row r="6" customFormat="false" ht="25.5" hidden="false" customHeight="true" outlineLevel="0" collapsed="false">
      <c r="A6" s="3" t="s">
        <v>58</v>
      </c>
      <c r="C6" s="14" t="n">
        <v>13</v>
      </c>
      <c r="E6" s="25" t="s">
        <v>59</v>
      </c>
    </row>
    <row r="7" customFormat="false" ht="25.5" hidden="false" customHeight="true" outlineLevel="0" collapsed="false">
      <c r="A7" s="1" t="s">
        <v>60</v>
      </c>
      <c r="C7" s="26" t="n">
        <v>2005.51</v>
      </c>
      <c r="E7" s="25"/>
    </row>
    <row r="9" customFormat="false" ht="15" hidden="false" customHeight="false" outlineLevel="0" collapsed="false">
      <c r="A9" s="1" t="s">
        <v>61</v>
      </c>
    </row>
    <row r="10" customFormat="false" ht="15" hidden="false" customHeight="true" outlineLevel="0" collapsed="false">
      <c r="A10" s="3" t="s">
        <v>62</v>
      </c>
      <c r="C10" s="14" t="n">
        <v>499.8</v>
      </c>
      <c r="E10" s="27" t="s">
        <v>63</v>
      </c>
    </row>
    <row r="11" customFormat="false" ht="15" hidden="false" customHeight="false" outlineLevel="0" collapsed="false">
      <c r="A11" s="3" t="s">
        <v>64</v>
      </c>
      <c r="C11" s="14" t="n">
        <v>45.6</v>
      </c>
      <c r="E11" s="27"/>
    </row>
    <row r="12" customFormat="false" ht="15" hidden="false" customHeight="false" outlineLevel="0" collapsed="false">
      <c r="A12" s="3" t="s">
        <v>65</v>
      </c>
      <c r="C12" s="14" t="n">
        <v>34.47</v>
      </c>
      <c r="E12" s="27"/>
    </row>
    <row r="13" customFormat="false" ht="15" hidden="false" customHeight="false" outlineLevel="0" collapsed="false">
      <c r="A13" s="3" t="s">
        <v>66</v>
      </c>
      <c r="C13" s="14" t="n">
        <v>18.65</v>
      </c>
      <c r="E13" s="27"/>
    </row>
    <row r="14" customFormat="false" ht="15" hidden="false" customHeight="false" outlineLevel="0" collapsed="false">
      <c r="A14" s="3" t="s">
        <v>67</v>
      </c>
      <c r="C14" s="14" t="n">
        <v>8.91</v>
      </c>
    </row>
    <row r="15" customFormat="false" ht="15" hidden="false" customHeight="false" outlineLevel="0" collapsed="false">
      <c r="A15" s="3" t="s">
        <v>68</v>
      </c>
      <c r="C15" s="14" t="n">
        <v>5.7</v>
      </c>
    </row>
    <row r="16" customFormat="false" ht="15" hidden="false" customHeight="false" outlineLevel="0" collapsed="false">
      <c r="A16" s="3" t="s">
        <v>69</v>
      </c>
      <c r="C16" s="14" t="n">
        <v>-12.05</v>
      </c>
    </row>
    <row r="17" customFormat="false" ht="15" hidden="false" customHeight="false" outlineLevel="0" collapsed="false">
      <c r="A17" s="3" t="s">
        <v>70</v>
      </c>
      <c r="C17" s="14" t="n">
        <v>195.93</v>
      </c>
    </row>
    <row r="18" customFormat="false" ht="15" hidden="false" customHeight="false" outlineLevel="0" collapsed="false">
      <c r="A18" s="1" t="s">
        <v>71</v>
      </c>
      <c r="C18" s="16" t="n">
        <f aca="false">SUM(C10:C17)</f>
        <v>797.01</v>
      </c>
    </row>
    <row r="20" customFormat="false" ht="15" hidden="false" customHeight="false" outlineLevel="0" collapsed="false">
      <c r="A20" s="1" t="s">
        <v>72</v>
      </c>
      <c r="C20" s="28" t="s">
        <v>73</v>
      </c>
      <c r="D20" s="28" t="s">
        <v>74</v>
      </c>
    </row>
    <row r="21" customFormat="false" ht="15" hidden="false" customHeight="true" outlineLevel="0" collapsed="false">
      <c r="A21" s="3" t="s">
        <v>75</v>
      </c>
      <c r="C21" s="14" t="n">
        <v>1791.24</v>
      </c>
      <c r="D21" s="14" t="n">
        <v>2005.51</v>
      </c>
      <c r="E21" s="27" t="s">
        <v>76</v>
      </c>
    </row>
    <row r="22" customFormat="false" ht="15" hidden="false" customHeight="false" outlineLevel="0" collapsed="false">
      <c r="A22" s="3" t="s">
        <v>77</v>
      </c>
      <c r="C22" s="14" t="n">
        <v>969.75</v>
      </c>
      <c r="D22" s="14" t="n">
        <v>1312.86</v>
      </c>
      <c r="E22" s="27"/>
    </row>
    <row r="23" customFormat="false" ht="15" hidden="false" customHeight="false" outlineLevel="0" collapsed="false">
      <c r="A23" s="3" t="s">
        <v>78</v>
      </c>
      <c r="C23" s="14" t="n">
        <v>93.96</v>
      </c>
      <c r="D23" s="14" t="n">
        <v>0</v>
      </c>
      <c r="E23" s="27"/>
    </row>
    <row r="25" customFormat="false" ht="15" hidden="false" customHeight="false" outlineLevel="0" collapsed="false">
      <c r="A25" s="1" t="s">
        <v>79</v>
      </c>
    </row>
    <row r="26" customFormat="false" ht="39.75" hidden="false" customHeight="true" outlineLevel="0" collapsed="false">
      <c r="A26" s="29" t="s">
        <v>80</v>
      </c>
      <c r="B26" s="7" t="s">
        <v>81</v>
      </c>
      <c r="C26" s="7"/>
      <c r="D26" s="7"/>
      <c r="E26" s="7"/>
    </row>
    <row r="27" customFormat="false" ht="39.75" hidden="false" customHeight="true" outlineLevel="0" collapsed="false">
      <c r="A27" s="29" t="s">
        <v>82</v>
      </c>
      <c r="B27" s="7" t="s">
        <v>83</v>
      </c>
      <c r="C27" s="7"/>
      <c r="D27" s="7"/>
      <c r="E27" s="7"/>
    </row>
    <row r="28" customFormat="false" ht="39.75" hidden="false" customHeight="true" outlineLevel="0" collapsed="false">
      <c r="A28" s="29" t="s">
        <v>31</v>
      </c>
      <c r="B28" s="7" t="s">
        <v>84</v>
      </c>
      <c r="C28" s="7"/>
      <c r="D28" s="7"/>
      <c r="E28" s="7"/>
    </row>
    <row r="29" customFormat="false" ht="39.75" hidden="false" customHeight="true" outlineLevel="0" collapsed="false">
      <c r="A29" s="29" t="s">
        <v>28</v>
      </c>
      <c r="B29" s="7" t="s">
        <v>85</v>
      </c>
      <c r="C29" s="7"/>
      <c r="D29" s="7"/>
      <c r="E29" s="7"/>
    </row>
    <row r="30" customFormat="false" ht="39.75" hidden="false" customHeight="true" outlineLevel="0" collapsed="false">
      <c r="A30" s="29" t="s">
        <v>86</v>
      </c>
      <c r="B30" s="7" t="s">
        <v>87</v>
      </c>
      <c r="C30" s="7"/>
      <c r="D30" s="7"/>
      <c r="E30" s="7"/>
    </row>
  </sheetData>
  <mergeCells count="7">
    <mergeCell ref="E10:E13"/>
    <mergeCell ref="E21:E23"/>
    <mergeCell ref="B26:E26"/>
    <mergeCell ref="B27:E27"/>
    <mergeCell ref="B28:E28"/>
    <mergeCell ref="B29:E29"/>
    <mergeCell ref="B30:E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2"/>
  </cols>
  <sheetData>
    <row r="1" customFormat="false" ht="19.7" hidden="false" customHeight="false" outlineLevel="0" collapsed="false">
      <c r="A1" s="23" t="s">
        <v>88</v>
      </c>
    </row>
    <row r="2" customFormat="false" ht="15" hidden="false" customHeight="false" outlineLevel="0" collapsed="false">
      <c r="A2" s="24" t="s">
        <v>89</v>
      </c>
    </row>
    <row r="4" customFormat="false" ht="51.75" hidden="false" customHeight="true" outlineLevel="0" collapsed="false">
      <c r="A4" s="29" t="s">
        <v>90</v>
      </c>
      <c r="B4" s="30" t="s">
        <v>91</v>
      </c>
    </row>
    <row r="5" customFormat="false" ht="51.75" hidden="false" customHeight="true" outlineLevel="0" collapsed="false">
      <c r="A5" s="29" t="s">
        <v>92</v>
      </c>
      <c r="B5" s="30" t="s">
        <v>93</v>
      </c>
    </row>
    <row r="6" customFormat="false" ht="51.75" hidden="false" customHeight="true" outlineLevel="0" collapsed="false">
      <c r="A6" s="29" t="s">
        <v>94</v>
      </c>
      <c r="B6" s="30" t="s">
        <v>95</v>
      </c>
    </row>
    <row r="7" customFormat="false" ht="51.75" hidden="false" customHeight="true" outlineLevel="0" collapsed="false">
      <c r="A7" s="29" t="s">
        <v>96</v>
      </c>
      <c r="B7" s="30" t="s">
        <v>97</v>
      </c>
    </row>
    <row r="8" customFormat="false" ht="51.75" hidden="false" customHeight="true" outlineLevel="0" collapsed="false">
      <c r="A8" s="29" t="s">
        <v>98</v>
      </c>
      <c r="B8" s="30" t="s">
        <v>99</v>
      </c>
    </row>
    <row r="9" customFormat="false" ht="51.75" hidden="false" customHeight="true" outlineLevel="0" collapsed="false">
      <c r="A9" s="29" t="s">
        <v>100</v>
      </c>
      <c r="B9" s="30" t="s">
        <v>101</v>
      </c>
    </row>
    <row r="10" customFormat="false" ht="51.75" hidden="false" customHeight="true" outlineLevel="0" collapsed="false">
      <c r="A10" s="29" t="s">
        <v>102</v>
      </c>
      <c r="B10" s="30" t="s">
        <v>103</v>
      </c>
    </row>
    <row r="11" customFormat="false" ht="51.75" hidden="false" customHeight="true" outlineLevel="0" collapsed="false">
      <c r="A11" s="29" t="s">
        <v>104</v>
      </c>
      <c r="B11" s="30" t="s">
        <v>105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2026-10-26T11:10:55Z</dcterms:created>
  <dc:creator>openpyxl</dc:creator>
  <dc:description/>
  <dc:language>en-US</dc:language>
  <cp:lastModifiedBy/>
  <dcterms:modified xsi:type="dcterms:W3CDTF">2026-10-26T11:10:55Z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