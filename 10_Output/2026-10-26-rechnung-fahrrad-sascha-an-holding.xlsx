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hnung" sheetId="1" state="visible" r:id="rId3"/>
  </sheets>
  <definedNames>
    <definedName function="false" hidden="false" localSheetId="0" name="_xlnm.Print_Area" vbProcedure="false">Rechnung!$A$1:$I$35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Netto aus der Rose-Rechnung vom 06.05.2026: 2.057,94 € (2.399,00 € Rad plus 49,95 € Versand, brutto 2.448,95 €).
Verkaufst du zu einem anderen Preis, hier ändern — siehe den Hinweis zum Fremdvergleich unten.</t>
        </r>
      </text>
    </comment>
    <comment ref="G6" authorId="0">
      <text>
        <r>
          <rPr>
            <sz val="10"/>
            <rFont val="Arial"/>
            <family val="2"/>
          </rPr>
          <t xml:space="preserve">Erste Rechnung des Jahres. Die Nummern müssen fortlaufend und eindeutig bleiben, also weiter mit 2026-002.</t>
        </r>
      </text>
    </comment>
  </commentList>
</comments>
</file>

<file path=xl/sharedStrings.xml><?xml version="1.0" encoding="utf-8"?>
<sst xmlns="http://schemas.openxmlformats.org/spreadsheetml/2006/main" count="43" uniqueCount="38">
  <si>
    <t xml:space="preserve">Sascha Coldewey</t>
  </si>
  <si>
    <t xml:space="preserve">RECHNUNG</t>
  </si>
  <si>
    <t xml:space="preserve">Im Zuckergarten 28</t>
  </si>
  <si>
    <t xml:space="preserve">55129 Mainz</t>
  </si>
  <si>
    <t xml:space="preserve">Rechnung an</t>
  </si>
  <si>
    <t xml:space="preserve">Rechnungsnummer</t>
  </si>
  <si>
    <t xml:space="preserve">2026-001</t>
  </si>
  <si>
    <t xml:space="preserve">Coldewey Holding GmbH</t>
  </si>
  <si>
    <t xml:space="preserve">Rechnungsdatum</t>
  </si>
  <si>
    <t xml:space="preserve">26.10.2026</t>
  </si>
  <si>
    <t xml:space="preserve">Liefer-/Leistungsdatum</t>
  </si>
  <si>
    <t xml:space="preserve">Pos.</t>
  </si>
  <si>
    <t xml:space="preserve">Bezeichnung</t>
  </si>
  <si>
    <t xml:space="preserve">Menge</t>
  </si>
  <si>
    <t xml:space="preserve">USt</t>
  </si>
  <si>
    <t xml:space="preserve">Einzelpreis netto</t>
  </si>
  <si>
    <t xml:space="preserve">Gesamt netto</t>
  </si>
  <si>
    <t xml:space="preserve">Fahrrad Rose Backroad APEX AXS XPLR 1x12
gebraucht, Erstkauf 06.05.2026</t>
  </si>
  <si>
    <t xml:space="preserve">Nettobetrag</t>
  </si>
  <si>
    <t xml:space="preserve">zuzüglich 19 % USt</t>
  </si>
  <si>
    <t xml:space="preserve">Rechnungsbetrag</t>
  </si>
  <si>
    <t xml:space="preserve">Zahlbar ohne Abzug innerhalb von 14 Tagen auf folgendes Konto:</t>
  </si>
  <si>
    <t xml:space="preserve">Kontoinhaber</t>
  </si>
  <si>
    <t xml:space="preserve">IBAN</t>
  </si>
  <si>
    <t xml:space="preserve">DE15 1101 0100 2299 4886 74</t>
  </si>
  <si>
    <t xml:space="preserve">BIC</t>
  </si>
  <si>
    <t xml:space="preserve">SOBKDEBBXXX</t>
  </si>
  <si>
    <t xml:space="preserve">Sascha Coldewey · Im Zuckergarten 28 · 55129 Mainz</t>
  </si>
  <si>
    <t xml:space="preserve">Steuernummer 26 026 70812 · Finanzamt Mainz-Süd</t>
  </si>
  <si>
    <t xml:space="preserve">Vor dem Versenden prüfen</t>
  </si>
  <si>
    <t xml:space="preserve">OFFEN</t>
  </si>
  <si>
    <t xml:space="preserve">Verkauf an die eigene GmbH</t>
  </si>
  <si>
    <t xml:space="preserve">Der Preis muss dem entsprechen, was ein Fremder zahlen würde. Ein fünf Monate altes Rad zum vollen Neupreis kann das Finanzamt als verdeckte Gewinnausschüttung werten. Üblich ist ein Abschlag; den Preis im Zweifel über Vergleichsangebote belegen und die Rose-Rechnung beilegen.</t>
  </si>
  <si>
    <t xml:space="preserve">—</t>
  </si>
  <si>
    <t xml:space="preserve">Unternehmerischer Verkauf</t>
  </si>
  <si>
    <t xml:space="preserve">Mit Steuernummer und ausgewiesener Umsatzsteuer rechnest du als Unternehmer ab, nicht aus dem Privatvermögen. Die Holding kann die 391,01 € als Vorsteuer ziehen, und du meldest sie in deiner Umsatzsteuervoranmeldung an.</t>
  </si>
  <si>
    <t xml:space="preserve">Pflichtangaben</t>
  </si>
  <si>
    <t xml:space="preserve">Vollständig nach § 14 UStG: Namen und Anschriften, Steuernummer, Rechnungsnummer, Rechnungs- und Leistungsdatum, Menge und Art, Entgelt, Steuersatz und Steuerbetrag. Die Steuernummer genügt, eine USt-IdNr. ist keine zusätzliche Pflicht.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</si>
</sst>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 %"/>
    <numFmt numFmtId="166" formatCode="#,##0.00&quot; €&quot;;\-#,##0.00&quot; €&quot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8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7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8"/>
      <color rgb="FF595959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CE4E4"/>
      </patternFill>
    </fill>
    <fill>
      <patternFill patternType="solid">
        <fgColor rgb="FFE8E8E8"/>
        <bgColor rgb="FFD9E1D9"/>
      </patternFill>
    </fill>
    <fill>
      <patternFill patternType="solid">
        <fgColor rgb="FFD9E1D9"/>
        <bgColor rgb="FFE8E8E8"/>
      </patternFill>
    </fill>
    <fill>
      <patternFill patternType="solid">
        <fgColor rgb="FF2F4F4F"/>
        <bgColor rgb="FF595959"/>
      </patternFill>
    </fill>
    <fill>
      <patternFill patternType="solid">
        <fgColor rgb="FFFCE4E4"/>
        <bgColor rgb="FFE8E8E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/>
      <right/>
      <top/>
      <bottom style="medium">
        <color rgb="FF2F4F4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E8E8E8"/>
      <rgbColor rgb="FF660066"/>
      <rgbColor rgb="FFFF8080"/>
      <rgbColor rgb="FF0066CC"/>
      <rgbColor rgb="FFD9E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G1" s="2" t="s">
        <v>1</v>
      </c>
      <c r="H1" s="2"/>
      <c r="I1" s="2"/>
    </row>
    <row r="2" customFormat="false" ht="15" hidden="false" customHeight="false" outlineLevel="0" collapsed="false">
      <c r="A2" s="3" t="s">
        <v>2</v>
      </c>
      <c r="G2" s="2"/>
      <c r="H2" s="2"/>
      <c r="I2" s="2"/>
    </row>
    <row r="3" customFormat="false" ht="15" hidden="false" customHeight="false" outlineLevel="0" collapsed="false">
      <c r="A3" s="3" t="s">
        <v>3</v>
      </c>
    </row>
    <row r="6" customFormat="false" ht="15" hidden="false" customHeight="false" outlineLevel="0" collapsed="false">
      <c r="A6" s="4" t="s">
        <v>4</v>
      </c>
      <c r="F6" s="4" t="s">
        <v>5</v>
      </c>
      <c r="G6" s="5" t="s">
        <v>6</v>
      </c>
      <c r="H6" s="5"/>
      <c r="I6" s="5"/>
    </row>
    <row r="7" customFormat="false" ht="15" hidden="false" customHeight="false" outlineLevel="0" collapsed="false">
      <c r="A7" s="1" t="s">
        <v>7</v>
      </c>
      <c r="F7" s="4" t="s">
        <v>8</v>
      </c>
      <c r="G7" s="5" t="s">
        <v>9</v>
      </c>
      <c r="H7" s="5"/>
      <c r="I7" s="5"/>
    </row>
    <row r="8" customFormat="false" ht="15" hidden="false" customHeight="false" outlineLevel="0" collapsed="false">
      <c r="A8" s="3" t="s">
        <v>2</v>
      </c>
      <c r="F8" s="4" t="s">
        <v>10</v>
      </c>
      <c r="G8" s="5" t="s">
        <v>9</v>
      </c>
      <c r="H8" s="5"/>
      <c r="I8" s="5"/>
    </row>
    <row r="9" customFormat="false" ht="15" hidden="false" customHeight="false" outlineLevel="0" collapsed="false">
      <c r="A9" s="3" t="s">
        <v>3</v>
      </c>
    </row>
    <row r="12" customFormat="false" ht="24" hidden="false" customHeight="true" outlineLevel="0" collapsed="false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15</v>
      </c>
      <c r="I12" s="6" t="s">
        <v>16</v>
      </c>
    </row>
    <row r="13" customFormat="false" ht="15.75" hidden="false" customHeight="true" outlineLevel="0" collapsed="false">
      <c r="A13" s="7" t="n">
        <v>1</v>
      </c>
      <c r="B13" s="8" t="s">
        <v>17</v>
      </c>
      <c r="C13" s="9" t="n">
        <v>1</v>
      </c>
      <c r="D13" s="10" t="n">
        <v>0.19</v>
      </c>
      <c r="E13" s="11" t="n">
        <v>2057.94</v>
      </c>
      <c r="F13" s="7"/>
      <c r="G13" s="7"/>
      <c r="H13" s="7"/>
      <c r="I13" s="11" t="n">
        <f aca="false">ROUND(C13*E13,2)</f>
        <v>2057.94</v>
      </c>
    </row>
    <row r="14" customFormat="false" ht="15.75" hidden="false" customHeight="true" outlineLevel="0" collapsed="false">
      <c r="A14" s="12"/>
      <c r="B14" s="8"/>
      <c r="C14" s="12"/>
      <c r="D14" s="12"/>
      <c r="E14" s="12"/>
      <c r="F14" s="12"/>
      <c r="G14" s="12"/>
      <c r="H14" s="12"/>
      <c r="I14" s="12"/>
    </row>
    <row r="16" customFormat="false" ht="15" hidden="false" customHeight="false" outlineLevel="0" collapsed="false">
      <c r="G16" s="13" t="s">
        <v>18</v>
      </c>
      <c r="I16" s="14" t="n">
        <f aca="false">I13</f>
        <v>2057.94</v>
      </c>
    </row>
    <row r="17" customFormat="false" ht="15" hidden="false" customHeight="false" outlineLevel="0" collapsed="false">
      <c r="G17" s="15" t="s">
        <v>19</v>
      </c>
      <c r="I17" s="16" t="n">
        <f aca="false">ROUND(I16*D13,2)</f>
        <v>391.01</v>
      </c>
    </row>
    <row r="18" customFormat="false" ht="21.75" hidden="false" customHeight="true" outlineLevel="0" collapsed="false">
      <c r="G18" s="17" t="s">
        <v>20</v>
      </c>
      <c r="H18" s="18"/>
      <c r="I18" s="19" t="n">
        <f aca="false">I16+I17</f>
        <v>2448.95</v>
      </c>
    </row>
    <row r="21" customFormat="false" ht="15" hidden="false" customHeight="false" outlineLevel="0" collapsed="false">
      <c r="A21" s="20" t="s">
        <v>21</v>
      </c>
      <c r="B21" s="20"/>
      <c r="C21" s="20"/>
      <c r="D21" s="20"/>
      <c r="E21" s="20"/>
      <c r="F21" s="20"/>
      <c r="G21" s="20"/>
      <c r="H21" s="20"/>
      <c r="I21" s="20"/>
    </row>
    <row r="22" customFormat="false" ht="15" hidden="false" customHeight="false" outlineLevel="0" collapsed="false">
      <c r="A22" s="4" t="s">
        <v>22</v>
      </c>
      <c r="B22" s="5" t="s">
        <v>0</v>
      </c>
      <c r="C22" s="5"/>
      <c r="D22" s="5"/>
      <c r="E22" s="5"/>
    </row>
    <row r="23" customFormat="false" ht="15" hidden="false" customHeight="false" outlineLevel="0" collapsed="false">
      <c r="A23" s="4" t="s">
        <v>23</v>
      </c>
      <c r="B23" s="5" t="s">
        <v>24</v>
      </c>
      <c r="C23" s="5"/>
      <c r="D23" s="5"/>
      <c r="E23" s="5"/>
    </row>
    <row r="24" customFormat="false" ht="15" hidden="false" customHeight="false" outlineLevel="0" collapsed="false">
      <c r="A24" s="4" t="s">
        <v>25</v>
      </c>
      <c r="B24" s="5" t="s">
        <v>26</v>
      </c>
      <c r="C24" s="5"/>
      <c r="D24" s="5"/>
      <c r="E24" s="5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  <c r="H26" s="21"/>
      <c r="I26" s="21"/>
    </row>
    <row r="27" customFormat="false" ht="15" hidden="false" customHeight="false" outlineLevel="0" collapsed="false">
      <c r="A27" s="22" t="s">
        <v>27</v>
      </c>
      <c r="B27" s="22"/>
      <c r="C27" s="22"/>
      <c r="D27" s="22"/>
      <c r="E27" s="22"/>
      <c r="F27" s="22"/>
      <c r="G27" s="22"/>
      <c r="H27" s="22"/>
      <c r="I27" s="22"/>
    </row>
    <row r="28" customFormat="false" ht="15" hidden="false" customHeight="false" outlineLevel="0" collapsed="false">
      <c r="A28" s="22" t="s">
        <v>28</v>
      </c>
      <c r="B28" s="22"/>
      <c r="C28" s="22"/>
      <c r="D28" s="22"/>
      <c r="E28" s="22"/>
      <c r="F28" s="22"/>
      <c r="G28" s="22"/>
      <c r="H28" s="22"/>
      <c r="I28" s="22"/>
    </row>
    <row r="31" customFormat="false" ht="19.5" hidden="false" customHeight="true" outlineLevel="0" collapsed="false">
      <c r="A31" s="23" t="s">
        <v>29</v>
      </c>
      <c r="B31" s="23"/>
      <c r="C31" s="23"/>
      <c r="D31" s="23"/>
      <c r="E31" s="23"/>
      <c r="F31" s="23"/>
      <c r="G31" s="23"/>
      <c r="H31" s="23"/>
      <c r="I31" s="23"/>
    </row>
    <row r="32" customFormat="false" ht="45.75" hidden="false" customHeight="true" outlineLevel="0" collapsed="false">
      <c r="A32" s="24" t="s">
        <v>30</v>
      </c>
      <c r="B32" s="25" t="s">
        <v>31</v>
      </c>
      <c r="C32" s="26" t="s">
        <v>32</v>
      </c>
      <c r="D32" s="26"/>
      <c r="E32" s="26"/>
      <c r="F32" s="26"/>
      <c r="G32" s="26"/>
      <c r="H32" s="26"/>
      <c r="I32" s="26"/>
    </row>
    <row r="33" customFormat="false" ht="45.75" hidden="false" customHeight="true" outlineLevel="0" collapsed="false">
      <c r="A33" s="27" t="s">
        <v>33</v>
      </c>
      <c r="B33" s="28" t="s">
        <v>34</v>
      </c>
      <c r="C33" s="29" t="s">
        <v>35</v>
      </c>
      <c r="D33" s="29"/>
      <c r="E33" s="29"/>
      <c r="F33" s="29"/>
      <c r="G33" s="29"/>
      <c r="H33" s="29"/>
      <c r="I33" s="29"/>
    </row>
    <row r="34" customFormat="false" ht="45.75" hidden="false" customHeight="true" outlineLevel="0" collapsed="false">
      <c r="A34" s="27" t="s">
        <v>33</v>
      </c>
      <c r="B34" s="28" t="s">
        <v>36</v>
      </c>
      <c r="C34" s="29" t="s">
        <v>37</v>
      </c>
      <c r="D34" s="29"/>
      <c r="E34" s="29"/>
      <c r="F34" s="29"/>
      <c r="G34" s="29"/>
      <c r="H34" s="29"/>
      <c r="I34" s="29"/>
    </row>
  </sheetData>
  <mergeCells count="15">
    <mergeCell ref="G1:I2"/>
    <mergeCell ref="G6:I6"/>
    <mergeCell ref="G7:I7"/>
    <mergeCell ref="G8:I8"/>
    <mergeCell ref="B13:B14"/>
    <mergeCell ref="A21:I21"/>
    <mergeCell ref="B22:E22"/>
    <mergeCell ref="B23:E23"/>
    <mergeCell ref="B24:E24"/>
    <mergeCell ref="A27:I27"/>
    <mergeCell ref="A28:I28"/>
    <mergeCell ref="A31:I31"/>
    <mergeCell ref="C32:I32"/>
    <mergeCell ref="C33:I33"/>
    <mergeCell ref="C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2026-10-26T11:02:01Z</dcterms:created>
  <dc:creator>openpyxl</dc:creator>
  <dc:description/>
  <dc:language>en-US</dc:language>
  <cp:lastModifiedBy/>
  <dcterms:modified xsi:type="dcterms:W3CDTF">2026-10-26T11:02:01Z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