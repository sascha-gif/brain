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fung" sheetId="1" state="visible" r:id="rId3"/>
  </sheets>
  <definedNames>
    <definedName function="false" hidden="false" localSheetId="0" name="_xlnm.Print_Area" vbProcedure="false">Pruefung!$A$1:$F$48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8" authorId="0">
      <text>
        <r>
          <rPr>
            <sz val="10"/>
            <rFont val="Arial"/>
            <family val="2"/>
          </rPr>
          <t xml:space="preserve">300,00 € im Monat. Prüfen, ob das dem Mietvertrag entspricht und ob Huber alle zwölf Raten gezahlt hat — die Verwaltung kennt den Mietvertrag nicht.</t>
        </r>
      </text>
    </comment>
  </commentList>
</comments>
</file>

<file path=xl/sharedStrings.xml><?xml version="1.0" encoding="utf-8"?>
<sst xmlns="http://schemas.openxmlformats.org/spreadsheetml/2006/main" count="92" uniqueCount="73">
  <si>
    <t xml:space="preserve">Nebenkostenabrechnung 2024 — Prüfung</t>
  </si>
  <si>
    <t xml:space="preserve">WEG-Anlage 310, Im Bienengarten 23, 55218 Ingelheim · Wohnung 3, OG rechts · Abrechnung der HCo Hausverwaltung GmbH vom 26.08.2025</t>
  </si>
  <si>
    <t xml:space="preserve">Eigentümer</t>
  </si>
  <si>
    <t xml:space="preserve">Sascha Coldewey</t>
  </si>
  <si>
    <t xml:space="preserve">Mieter</t>
  </si>
  <si>
    <t xml:space="preserve">Eheleute Frank Huber</t>
  </si>
  <si>
    <t xml:space="preserve">Abrechnungszeitraum</t>
  </si>
  <si>
    <t xml:space="preserve">01.01.2024 – 31.12.2024, 366 Tage</t>
  </si>
  <si>
    <t xml:space="preserve">Wohnfläche</t>
  </si>
  <si>
    <t xml:space="preserve">66,07 qm von 413,79 qm · MEA 159,67 von 1.000</t>
  </si>
  <si>
    <t xml:space="preserve">Die Positionen im Einzelnen</t>
  </si>
  <si>
    <t xml:space="preserve">Abrechnungsposten</t>
  </si>
  <si>
    <t xml:space="preserve">Verteilt nach</t>
  </si>
  <si>
    <t xml:space="preserve">Gesamt</t>
  </si>
  <si>
    <t xml:space="preserve">Anteil Huber</t>
  </si>
  <si>
    <t xml:space="preserve">Umlage</t>
  </si>
  <si>
    <t xml:space="preserve">Anmerkung</t>
  </si>
  <si>
    <t xml:space="preserve">Kabelfernsehen</t>
  </si>
  <si>
    <t xml:space="preserve">Wohneinheit</t>
  </si>
  <si>
    <t xml:space="preserve">prüfen</t>
  </si>
  <si>
    <t xml:space="preserve">Seit 01.07.2024 nicht mehr umlagefähig. Betrifft der Betrag das ganze Jahr, sind nur rund 46,98 € zulässig.</t>
  </si>
  <si>
    <t xml:space="preserve">Hausmeister</t>
  </si>
  <si>
    <t xml:space="preserve">ok</t>
  </si>
  <si>
    <t xml:space="preserve">§ 2 Nr. 10 BetrKV.</t>
  </si>
  <si>
    <t xml:space="preserve">Sozialabgaben Hausmeister</t>
  </si>
  <si>
    <t xml:space="preserve">Lohnnebenkosten des Hausmeisters, gehören dazu.</t>
  </si>
  <si>
    <t xml:space="preserve">Allgemeinstrom</t>
  </si>
  <si>
    <t xml:space="preserve">MEA</t>
  </si>
  <si>
    <t xml:space="preserve">§ 2 Nr. 11 BetrKV.</t>
  </si>
  <si>
    <t xml:space="preserve">Abfallbeseitigung</t>
  </si>
  <si>
    <t xml:space="preserve">Personen×Tage</t>
  </si>
  <si>
    <t xml:space="preserve">§ 2 Nr. 8 BetrKV. 366 von 3.752 Personentagen = 1 Person ganzjährig.</t>
  </si>
  <si>
    <t xml:space="preserve">Wohngebäudeversicherung</t>
  </si>
  <si>
    <t xml:space="preserve">§ 2 Nr. 13 BetrKV.</t>
  </si>
  <si>
    <t xml:space="preserve">Hebeanlage Wartung</t>
  </si>
  <si>
    <t xml:space="preserve">Abwasserhebeanlage, § 2 Nr. 3 BetrKV. Reine Wartung ist umlagefähig, eine Reparatur wäre es nicht.</t>
  </si>
  <si>
    <t xml:space="preserve">Grundstückspflege</t>
  </si>
  <si>
    <t xml:space="preserve">HK + WK-Abrechnung</t>
  </si>
  <si>
    <t xml:space="preserve">Kosten der Verbrauchserfassung, § 2 Nr. 4a und 5 BetrKV.</t>
  </si>
  <si>
    <t xml:space="preserve">Grundsteuer</t>
  </si>
  <si>
    <t xml:space="preserve">direkt</t>
  </si>
  <si>
    <t xml:space="preserve">§ 2 Nr. 1 BetrKV, aber auffällig niedrig für ein ganzes Jahr. Vermutlich nur eine Nachbelastung — beim Verwalter nachfragen, ob der Rest noch kommt.</t>
  </si>
  <si>
    <t xml:space="preserve">Wartung RWM/Feuerlöscher</t>
  </si>
  <si>
    <t xml:space="preserve">Wartung von Rauchwarnmeldern ist nur umlagefähig, wenn der Mietvertrag „sonstige Betriebskasten“ ausdrücklich benennt. Miete von Meldern wäre nie umlagefähig.</t>
  </si>
  <si>
    <t xml:space="preserve">Gartenarbeiten</t>
  </si>
  <si>
    <t xml:space="preserve">Heizkosten</t>
  </si>
  <si>
    <t xml:space="preserve">Heizk.-Abr.</t>
  </si>
  <si>
    <t xml:space="preserve">Eigene Abrechnung nach HeizkostenV: 30 % Grund-, 70 % Verbrauchskosten. Enthält 367,32 € Kalt- und Abwasser.</t>
  </si>
  <si>
    <t xml:space="preserve">Summe Ihr Anteil</t>
  </si>
  <si>
    <t xml:space="preserve">Ergebnis für den Mieter</t>
  </si>
  <si>
    <t xml:space="preserve">Umlagefähige Kosten laut Verwaltung</t>
  </si>
  <si>
    <t xml:space="preserve">Vorauszahlungen Betriebskosten</t>
  </si>
  <si>
    <t xml:space="preserve">Vorauszahlungen Heizkosten</t>
  </si>
  <si>
    <t xml:space="preserve">Guthaben Huber laut Abrechnung</t>
  </si>
  <si>
    <t xml:space="preserve">Falls Kabelfernsehen nur bis 30.06.2024 zählt</t>
  </si>
  <si>
    <t xml:space="preserve">Kürzung Kabelfernsehen (halbes Jahr)</t>
  </si>
  <si>
    <t xml:space="preserve">Guthaben Huber, korrigiert</t>
  </si>
  <si>
    <t xml:space="preserve">Nicht verwechseln: Ihr eigenes Guthaben als Eigentümer</t>
  </si>
  <si>
    <t xml:space="preserve">Aus der Verrechnungsliste der WEG, Position 3 Coldewey. Das ist Ihr Geld als Eigentümer gegenüber der Gemeinschaft und hat mit der Abrechnung gegenüber Huber nichts zu tun.</t>
  </si>
  <si>
    <t xml:space="preserve">Abrechnungsguthaben</t>
  </si>
  <si>
    <t xml:space="preserve">abzüglich MEA-Anteil Reparaturbudget</t>
  </si>
  <si>
    <t xml:space="preserve">Restguthaben Coldewey</t>
  </si>
  <si>
    <t xml:space="preserve">Was jetzt zu tun ist</t>
  </si>
  <si>
    <t xml:space="preserve">1  Vorauszahlung senken</t>
  </si>
  <si>
    <t xml:space="preserve">Huber zahlt 300 € im Monat, verbraucht hat er 149,27 €. Das ist der Grund für das hohe Guthaben. Du darfst die Vorauszahlung nach einer Abrechnung anpassen (§ 560 Abs. 4 BGB) — sinnvoll wären rund 170 € im Monat, mit etwas Luft für steigende Energiepreise. Spart euch beiden die Nachzahlerei.</t>
  </si>
  <si>
    <t xml:space="preserve">2  Kabelfernsehen klären</t>
  </si>
  <si>
    <t xml:space="preserve">Beim Verwalter nachfragen, ob die 657,75 € das ganze Jahr 2024 betreffen. Wenn ja, steht Huber die Hälfte zu und die Abrechnung muss korrigiert werden. Ab 2025 darf die Position gar nicht mehr auftauchen.</t>
  </si>
  <si>
    <t xml:space="preserve">3  Guthaben auszahlen</t>
  </si>
  <si>
    <t xml:space="preserve">Das Guthaben schuldest du Huber, unabhängig davon, dass die Abrechnung von August 2025 stammt. Die Abrechnungsfrist von zwölf Monaten (§ 556 Abs. 3 BGB) schützt den Mieter vor späten Nachforderungen, nicht den Vermieter vor Erstattungen.</t>
  </si>
  <si>
    <t xml:space="preserve">4  §-35a-Bescheinigung weitergeben</t>
  </si>
  <si>
    <t xml:space="preserve">Die Aufstellung der haushaltsnahen Leistungen (318,19 € Dienstleistungen, 99,11 € Handwerker) gehört Huber für seine Steuererklärung. Falls er sie noch nicht hat, mitschicken.</t>
  </si>
  <si>
    <t xml:space="preserve">5  Mietvertrag gegenlesen</t>
  </si>
  <si>
    <t xml:space="preserve">Prüfen, ob „sonstige Betriebskosten“ vereinbart sind — davon hängt die Position Rauchwarnmelder ab — und ob die Vorauszahlung wirklich bei 300 € lag.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</si>
</sst>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\-#,##0.00&quot; €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548235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4F4F"/>
        <bgColor rgb="FF595959"/>
      </patternFill>
    </fill>
    <fill>
      <patternFill patternType="solid">
        <fgColor rgb="FFE8E8E8"/>
        <bgColor rgb="FFF2F2F2"/>
      </patternFill>
    </fill>
    <fill>
      <patternFill patternType="solid">
        <fgColor rgb="FFFCE4E4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D9E1D9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D9E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7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6" min="6" style="1" width="50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15" hidden="false" customHeight="fals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15" hidden="false" customHeight="fals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15" hidden="false" customHeight="false" outlineLevel="0" collapsed="false">
      <c r="A7" s="4" t="s">
        <v>8</v>
      </c>
      <c r="B7" s="5" t="s">
        <v>9</v>
      </c>
      <c r="C7" s="5"/>
      <c r="D7" s="5"/>
      <c r="E7" s="5"/>
      <c r="F7" s="5"/>
    </row>
    <row r="9" customFormat="false" ht="19.5" hidden="false" customHeight="true" outlineLevel="0" collapsed="false">
      <c r="A9" s="6" t="s">
        <v>10</v>
      </c>
      <c r="B9" s="6"/>
      <c r="C9" s="6"/>
      <c r="D9" s="6"/>
      <c r="E9" s="6"/>
      <c r="F9" s="6"/>
    </row>
    <row r="10" customFormat="false" ht="24" hidden="false" customHeight="true" outlineLevel="0" collapsed="false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</row>
    <row r="11" customFormat="false" ht="30" hidden="false" customHeight="true" outlineLevel="0" collapsed="false">
      <c r="A11" s="8" t="s">
        <v>17</v>
      </c>
      <c r="B11" s="9" t="s">
        <v>18</v>
      </c>
      <c r="C11" s="10" t="n">
        <v>657.75</v>
      </c>
      <c r="D11" s="10" t="n">
        <v>93.96</v>
      </c>
      <c r="E11" s="11" t="s">
        <v>19</v>
      </c>
      <c r="F11" s="12" t="s">
        <v>20</v>
      </c>
    </row>
    <row r="12" customFormat="false" ht="15.75" hidden="false" customHeight="true" outlineLevel="0" collapsed="false">
      <c r="A12" s="13" t="s">
        <v>21</v>
      </c>
      <c r="B12" s="14" t="s">
        <v>18</v>
      </c>
      <c r="C12" s="15" t="n">
        <v>1489.2</v>
      </c>
      <c r="D12" s="15" t="n">
        <v>212.74</v>
      </c>
      <c r="E12" s="16" t="s">
        <v>22</v>
      </c>
      <c r="F12" s="12" t="s">
        <v>23</v>
      </c>
    </row>
    <row r="13" customFormat="false" ht="15.75" hidden="false" customHeight="true" outlineLevel="0" collapsed="false">
      <c r="A13" s="13" t="s">
        <v>24</v>
      </c>
      <c r="B13" s="14" t="s">
        <v>18</v>
      </c>
      <c r="C13" s="15" t="n">
        <v>517.68</v>
      </c>
      <c r="D13" s="15" t="n">
        <v>73.95</v>
      </c>
      <c r="E13" s="16" t="s">
        <v>22</v>
      </c>
      <c r="F13" s="12" t="s">
        <v>25</v>
      </c>
    </row>
    <row r="14" customFormat="false" ht="15.75" hidden="false" customHeight="true" outlineLevel="0" collapsed="false">
      <c r="A14" s="13" t="s">
        <v>26</v>
      </c>
      <c r="B14" s="14" t="s">
        <v>27</v>
      </c>
      <c r="C14" s="15" t="n">
        <v>127.43</v>
      </c>
      <c r="D14" s="15" t="n">
        <v>20.35</v>
      </c>
      <c r="E14" s="16" t="s">
        <v>22</v>
      </c>
      <c r="F14" s="12" t="s">
        <v>28</v>
      </c>
    </row>
    <row r="15" customFormat="false" ht="15.75" hidden="false" customHeight="true" outlineLevel="0" collapsed="false">
      <c r="A15" s="13" t="s">
        <v>29</v>
      </c>
      <c r="B15" s="14" t="s">
        <v>30</v>
      </c>
      <c r="C15" s="15" t="n">
        <v>604</v>
      </c>
      <c r="D15" s="15" t="n">
        <v>58.92</v>
      </c>
      <c r="E15" s="16" t="s">
        <v>22</v>
      </c>
      <c r="F15" s="12" t="s">
        <v>31</v>
      </c>
    </row>
    <row r="16" customFormat="false" ht="15.75" hidden="false" customHeight="true" outlineLevel="0" collapsed="false">
      <c r="A16" s="13" t="s">
        <v>32</v>
      </c>
      <c r="B16" s="14" t="s">
        <v>27</v>
      </c>
      <c r="C16" s="15" t="n">
        <v>1547.37</v>
      </c>
      <c r="D16" s="15" t="n">
        <v>247.07</v>
      </c>
      <c r="E16" s="16" t="s">
        <v>22</v>
      </c>
      <c r="F16" s="12" t="s">
        <v>33</v>
      </c>
    </row>
    <row r="17" customFormat="false" ht="30" hidden="false" customHeight="true" outlineLevel="0" collapsed="false">
      <c r="A17" s="13" t="s">
        <v>34</v>
      </c>
      <c r="B17" s="14" t="s">
        <v>27</v>
      </c>
      <c r="C17" s="15" t="n">
        <v>330.08</v>
      </c>
      <c r="D17" s="15" t="n">
        <v>52.7</v>
      </c>
      <c r="E17" s="16" t="s">
        <v>22</v>
      </c>
      <c r="F17" s="12" t="s">
        <v>35</v>
      </c>
    </row>
    <row r="18" customFormat="false" ht="15.75" hidden="false" customHeight="true" outlineLevel="0" collapsed="false">
      <c r="A18" s="13" t="s">
        <v>36</v>
      </c>
      <c r="B18" s="14" t="s">
        <v>27</v>
      </c>
      <c r="C18" s="15" t="n">
        <v>5.99</v>
      </c>
      <c r="D18" s="15" t="n">
        <v>0.96</v>
      </c>
      <c r="E18" s="16" t="s">
        <v>22</v>
      </c>
      <c r="F18" s="12"/>
    </row>
    <row r="19" customFormat="false" ht="15.75" hidden="false" customHeight="true" outlineLevel="0" collapsed="false">
      <c r="A19" s="13" t="s">
        <v>37</v>
      </c>
      <c r="B19" s="14" t="s">
        <v>18</v>
      </c>
      <c r="C19" s="15" t="n">
        <v>260.65</v>
      </c>
      <c r="D19" s="15" t="n">
        <v>37.24</v>
      </c>
      <c r="E19" s="16" t="s">
        <v>22</v>
      </c>
      <c r="F19" s="12" t="s">
        <v>38</v>
      </c>
    </row>
    <row r="20" customFormat="false" ht="30" hidden="false" customHeight="true" outlineLevel="0" collapsed="false">
      <c r="A20" s="8" t="s">
        <v>39</v>
      </c>
      <c r="B20" s="9" t="s">
        <v>40</v>
      </c>
      <c r="C20" s="10" t="n">
        <v>11.95</v>
      </c>
      <c r="D20" s="10" t="n">
        <v>11.95</v>
      </c>
      <c r="E20" s="11" t="s">
        <v>19</v>
      </c>
      <c r="F20" s="12" t="s">
        <v>41</v>
      </c>
    </row>
    <row r="21" customFormat="false" ht="30" hidden="false" customHeight="true" outlineLevel="0" collapsed="false">
      <c r="A21" s="8" t="s">
        <v>42</v>
      </c>
      <c r="B21" s="9" t="s">
        <v>18</v>
      </c>
      <c r="C21" s="10" t="n">
        <v>61.1</v>
      </c>
      <c r="D21" s="10" t="n">
        <v>8.73</v>
      </c>
      <c r="E21" s="11" t="s">
        <v>19</v>
      </c>
      <c r="F21" s="12" t="s">
        <v>43</v>
      </c>
    </row>
    <row r="22" customFormat="false" ht="15.75" hidden="false" customHeight="true" outlineLevel="0" collapsed="false">
      <c r="A22" s="13" t="s">
        <v>44</v>
      </c>
      <c r="B22" s="14" t="s">
        <v>27</v>
      </c>
      <c r="C22" s="15" t="n">
        <v>18.27</v>
      </c>
      <c r="D22" s="15" t="n">
        <v>2.92</v>
      </c>
      <c r="E22" s="16" t="s">
        <v>22</v>
      </c>
      <c r="F22" s="12"/>
    </row>
    <row r="23" customFormat="false" ht="30" hidden="false" customHeight="true" outlineLevel="0" collapsed="false">
      <c r="A23" s="13" t="s">
        <v>45</v>
      </c>
      <c r="B23" s="14" t="s">
        <v>46</v>
      </c>
      <c r="C23" s="15" t="n">
        <v>5030.67</v>
      </c>
      <c r="D23" s="15" t="n">
        <v>969.75</v>
      </c>
      <c r="E23" s="16" t="s">
        <v>22</v>
      </c>
      <c r="F23" s="12" t="s">
        <v>47</v>
      </c>
    </row>
    <row r="24" customFormat="false" ht="15" hidden="false" customHeight="false" outlineLevel="0" collapsed="false">
      <c r="A24" s="17" t="s">
        <v>48</v>
      </c>
      <c r="B24" s="18"/>
      <c r="C24" s="19" t="n">
        <f aca="false">SUM(C11:C23)</f>
        <v>10662.14</v>
      </c>
      <c r="D24" s="19" t="n">
        <f aca="false">SUM(D11:D23)</f>
        <v>1791.24</v>
      </c>
      <c r="E24" s="18"/>
      <c r="F24" s="18"/>
    </row>
    <row r="26" customFormat="false" ht="19.5" hidden="false" customHeight="true" outlineLevel="0" collapsed="false">
      <c r="A26" s="6" t="s">
        <v>49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5" t="s">
        <v>50</v>
      </c>
      <c r="B27" s="5"/>
      <c r="C27" s="5"/>
      <c r="D27" s="15" t="n">
        <f aca="false">D24</f>
        <v>1791.24</v>
      </c>
    </row>
    <row r="28" customFormat="false" ht="15" hidden="false" customHeight="false" outlineLevel="0" collapsed="false">
      <c r="A28" s="5" t="s">
        <v>51</v>
      </c>
      <c r="B28" s="5"/>
      <c r="C28" s="5"/>
      <c r="D28" s="15" t="n">
        <v>-3600</v>
      </c>
    </row>
    <row r="29" customFormat="false" ht="15" hidden="false" customHeight="false" outlineLevel="0" collapsed="false">
      <c r="A29" s="5" t="s">
        <v>52</v>
      </c>
      <c r="B29" s="5"/>
      <c r="C29" s="5"/>
      <c r="D29" s="15" t="n">
        <v>0</v>
      </c>
    </row>
    <row r="30" customFormat="false" ht="21.75" hidden="false" customHeight="true" outlineLevel="0" collapsed="false">
      <c r="A30" s="20" t="s">
        <v>53</v>
      </c>
      <c r="B30" s="20"/>
      <c r="C30" s="20"/>
      <c r="D30" s="21" t="n">
        <f aca="false">-(D24-3600)</f>
        <v>1808.76</v>
      </c>
    </row>
    <row r="32" customFormat="false" ht="15" hidden="false" customHeight="false" outlineLevel="0" collapsed="false">
      <c r="A32" s="22" t="s">
        <v>54</v>
      </c>
      <c r="B32" s="22"/>
      <c r="C32" s="22"/>
    </row>
    <row r="33" customFormat="false" ht="15" hidden="false" customHeight="false" outlineLevel="0" collapsed="false">
      <c r="A33" s="5" t="s">
        <v>55</v>
      </c>
      <c r="B33" s="5"/>
      <c r="C33" s="5"/>
      <c r="D33" s="15" t="n">
        <f aca="false">-ROUND(D11/2,2)</f>
        <v>-46.98</v>
      </c>
    </row>
    <row r="34" customFormat="false" ht="21.75" hidden="false" customHeight="true" outlineLevel="0" collapsed="false">
      <c r="A34" s="20" t="s">
        <v>56</v>
      </c>
      <c r="B34" s="20"/>
      <c r="C34" s="20"/>
      <c r="D34" s="21" t="n">
        <f aca="false">D30-D33</f>
        <v>1855.74</v>
      </c>
    </row>
    <row r="36" customFormat="false" ht="19.5" hidden="false" customHeight="true" outlineLevel="0" collapsed="false">
      <c r="A36" s="6" t="s">
        <v>57</v>
      </c>
      <c r="B36" s="6"/>
      <c r="C36" s="6"/>
      <c r="D36" s="6"/>
      <c r="E36" s="6"/>
      <c r="F36" s="6"/>
    </row>
    <row r="37" customFormat="false" ht="27.75" hidden="false" customHeight="true" outlineLevel="0" collapsed="false">
      <c r="A37" s="23" t="s">
        <v>58</v>
      </c>
      <c r="B37" s="23"/>
      <c r="C37" s="23"/>
      <c r="D37" s="23"/>
      <c r="E37" s="23"/>
      <c r="F37" s="23"/>
    </row>
    <row r="38" customFormat="false" ht="15" hidden="false" customHeight="false" outlineLevel="0" collapsed="false">
      <c r="A38" s="5" t="s">
        <v>59</v>
      </c>
      <c r="B38" s="5"/>
      <c r="C38" s="5"/>
      <c r="D38" s="15" t="n">
        <v>1390.48</v>
      </c>
    </row>
    <row r="39" customFormat="false" ht="15" hidden="false" customHeight="false" outlineLevel="0" collapsed="false">
      <c r="A39" s="5" t="s">
        <v>60</v>
      </c>
      <c r="B39" s="5"/>
      <c r="C39" s="5"/>
      <c r="D39" s="15" t="n">
        <v>-299.98</v>
      </c>
    </row>
    <row r="40" customFormat="false" ht="21.75" hidden="false" customHeight="true" outlineLevel="0" collapsed="false">
      <c r="A40" s="20" t="s">
        <v>61</v>
      </c>
      <c r="B40" s="20"/>
      <c r="C40" s="20"/>
      <c r="D40" s="21" t="n">
        <v>1090.5</v>
      </c>
    </row>
    <row r="42" customFormat="false" ht="19.5" hidden="false" customHeight="true" outlineLevel="0" collapsed="false">
      <c r="A42" s="6" t="s">
        <v>62</v>
      </c>
      <c r="B42" s="6"/>
      <c r="C42" s="6"/>
      <c r="D42" s="6"/>
      <c r="E42" s="6"/>
      <c r="F42" s="6"/>
    </row>
    <row r="43" customFormat="false" ht="45.75" hidden="false" customHeight="true" outlineLevel="0" collapsed="false">
      <c r="A43" s="24" t="s">
        <v>63</v>
      </c>
      <c r="B43" s="23" t="s">
        <v>64</v>
      </c>
      <c r="C43" s="23"/>
      <c r="D43" s="23"/>
      <c r="E43" s="23"/>
      <c r="F43" s="23"/>
    </row>
    <row r="44" customFormat="false" ht="45.75" hidden="false" customHeight="true" outlineLevel="0" collapsed="false">
      <c r="A44" s="24" t="s">
        <v>65</v>
      </c>
      <c r="B44" s="23" t="s">
        <v>66</v>
      </c>
      <c r="C44" s="23"/>
      <c r="D44" s="23"/>
      <c r="E44" s="23"/>
      <c r="F44" s="23"/>
    </row>
    <row r="45" customFormat="false" ht="45.75" hidden="false" customHeight="true" outlineLevel="0" collapsed="false">
      <c r="A45" s="24" t="s">
        <v>67</v>
      </c>
      <c r="B45" s="23" t="s">
        <v>68</v>
      </c>
      <c r="C45" s="23"/>
      <c r="D45" s="23"/>
      <c r="E45" s="23"/>
      <c r="F45" s="23"/>
    </row>
    <row r="46" customFormat="false" ht="45.75" hidden="false" customHeight="true" outlineLevel="0" collapsed="false">
      <c r="A46" s="24" t="s">
        <v>69</v>
      </c>
      <c r="B46" s="23" t="s">
        <v>70</v>
      </c>
      <c r="C46" s="23"/>
      <c r="D46" s="23"/>
      <c r="E46" s="23"/>
      <c r="F46" s="23"/>
    </row>
    <row r="47" customFormat="false" ht="45.75" hidden="false" customHeight="true" outlineLevel="0" collapsed="false">
      <c r="A47" s="24" t="s">
        <v>71</v>
      </c>
      <c r="B47" s="23" t="s">
        <v>72</v>
      </c>
      <c r="C47" s="23"/>
      <c r="D47" s="23"/>
      <c r="E47" s="23"/>
      <c r="F47" s="23"/>
    </row>
  </sheetData>
  <mergeCells count="26">
    <mergeCell ref="A1:F1"/>
    <mergeCell ref="A2:F2"/>
    <mergeCell ref="B4:F4"/>
    <mergeCell ref="B5:F5"/>
    <mergeCell ref="B6:F6"/>
    <mergeCell ref="B7:F7"/>
    <mergeCell ref="A9:F9"/>
    <mergeCell ref="A26:F26"/>
    <mergeCell ref="A27:C27"/>
    <mergeCell ref="A28:C28"/>
    <mergeCell ref="A29:C29"/>
    <mergeCell ref="A30:C30"/>
    <mergeCell ref="A32:C32"/>
    <mergeCell ref="A33:C33"/>
    <mergeCell ref="A34:C34"/>
    <mergeCell ref="A36:F36"/>
    <mergeCell ref="A37:F37"/>
    <mergeCell ref="A38:C38"/>
    <mergeCell ref="A39:C39"/>
    <mergeCell ref="A40:C40"/>
    <mergeCell ref="A42:F42"/>
    <mergeCell ref="B43:F43"/>
    <mergeCell ref="B44:F44"/>
    <mergeCell ref="B45:F45"/>
    <mergeCell ref="B46:F46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2026-10-26T11:06:50Z</dcterms:created>
  <dc:creator>openpyxl</dc:creator>
  <dc:description/>
  <dc:language>en-US</dc:language>
  <cp:lastModifiedBy/>
  <dcterms:modified xsi:type="dcterms:W3CDTF">2026-10-26T11:06:50Z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