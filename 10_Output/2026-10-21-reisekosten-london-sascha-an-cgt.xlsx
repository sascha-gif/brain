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rechnung" sheetId="1" state="visible" r:id="rId3"/>
    <sheet name="Saetze 2026" sheetId="2" state="visible" r:id="rId4"/>
  </sheets>
  <definedNames>
    <definedName function="false" hidden="false" localSheetId="0" name="_xlnm.Print_Area" vbProcedure="false">Abrechnung!$A$1:$I$86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3" authorId="0">
      <text>
        <r>
          <rPr>
            <sz val="10"/>
            <rFont val="Arial"/>
            <family val="2"/>
          </rPr>
          <t xml:space="preserve">TfL bucht „Unpaid Fare“ nach, wenn beim Ein- oder Ausstieg nicht korrekt getappt wurde. Ist das eine reine Fahrpreis-Nachzahlung, ist sie absetzbar. Ist es ein Bußgeld (Penalty Fare), ist sie es nicht — dann Zeile löschen.
Bitte den TfL-Kontoauszug prüfen.</t>
        </r>
      </text>
    </comment>
    <comment ref="C34" authorId="0">
      <text>
        <r>
          <rPr>
            <sz val="10"/>
            <rFont val="Arial"/>
            <family val="2"/>
          </rPr>
          <t xml:space="preserve">OFFEN: „About Town Business Services“ ließ sich nicht eindeutig zuordnen. Wenn das keine Reisekosten waren, Zeile löschen.</t>
        </r>
      </text>
    </comment>
    <comment ref="C35" authorId="0">
      <text>
        <r>
          <rPr>
            <sz val="10"/>
            <rFont val="Arial"/>
            <family val="2"/>
          </rPr>
          <t xml:space="preserve">OFFEN: „About Town Business Services“ ließ sich nicht eindeutig zuordnen. Wenn das keine Reisekosten waren, Zeile löschen.</t>
        </r>
      </text>
    </comment>
    <comment ref="C36" authorId="0">
      <text>
        <r>
          <rPr>
            <sz val="10"/>
            <rFont val="Arial"/>
            <family val="2"/>
          </rPr>
          <t xml:space="preserve">OFFEN: „About Town Business Services“ ließ sich nicht eindeutig zuordnen. Wenn das keine Reisekosten waren, Zeile löschen.</t>
        </r>
      </text>
    </comment>
    <comment ref="C51" authorId="0">
      <text>
        <r>
          <rPr>
            <sz val="10"/>
            <rFont val="Arial"/>
            <family val="2"/>
          </rPr>
          <t xml:space="preserve">OFFEN: Im hochgeladenen Kontoauszug ist für den 06.–07.10. keine Hotelzahlung zu finden. Entweder über ein anderes Konto oder vorab bezahlt.
Hotelrechnung beilegen und Betrag hier eintragen. Enthält sie Frühstück, den Anteil herausrechnen und oben in Block C das „F“ setzen.</t>
        </r>
      </text>
    </comment>
    <comment ref="D21" authorId="0">
      <text>
        <r>
          <rPr>
            <sz val="10"/>
            <rFont val="Arial"/>
            <family val="2"/>
          </rPr>
          <t xml:space="preserve">35 km einfach laut Angabe Sascha, hin und zurück also 70 km.</t>
        </r>
      </text>
    </comment>
    <comment ref="F40" authorId="0">
      <text>
        <r>
          <rPr>
            <sz val="10"/>
            <rFont val="Arial"/>
            <family val="2"/>
          </rPr>
          <t xml:space="preserve">Gestellte Mahlzeit mit „x“ markieren:
F = Frühstück, M = Mittagessen, A = Abendessen.
Dazu zählt auch das im Hotelpreis enthaltene Frühstück.</t>
        </r>
      </text>
    </comment>
    <comment ref="I67" authorId="0">
      <text>
        <r>
          <rPr>
            <sz val="10"/>
            <rFont val="Arial"/>
            <family val="2"/>
          </rPr>
          <t xml:space="preserve">Die Flüge stehen nicht in dieser Abrechnung: sie hat die Coldewey Holding GmbH gezahlt und belastet sie CGT separat weiter.</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9" authorId="0">
      <text>
        <r>
          <rPr>
            <sz val="10"/>
            <rFont val="Arial"/>
            <family val="2"/>
          </rPr>
          <t xml:space="preserve">Die Kürzung bemisst sich immer am vollen Tagessatz, auch an An- und Abreisetagen. Sie kann die Pauschale höchstens auf 0 € drücken.
Für London: Frühstück 13,20 €, Mittag- und Abendessen je 26,40 €.</t>
        </r>
      </text>
    </comment>
    <comment ref="A15" authorId="0">
      <text>
        <r>
          <rPr>
            <sz val="10"/>
            <rFont val="Arial"/>
            <family val="2"/>
          </rPr>
          <t xml:space="preserve">Nicht mit der Entfernungspauschale verwechseln: die ist ab 01.01.2026 einheitlich 0,38 €/km, gilt aber nur für den Weg Wohnung–erste Tätigkeitsstätte, nicht für Dienstreisen. Für Dienstreisen bleibt es bei 0,30 €/km.</t>
        </r>
      </text>
    </comment>
  </commentList>
</comments>
</file>

<file path=xl/sharedStrings.xml><?xml version="1.0" encoding="utf-8"?>
<sst xmlns="http://schemas.openxmlformats.org/spreadsheetml/2006/main" count="170" uniqueCount="129">
  <si>
    <t xml:space="preserve">Reisekostenabrechnung</t>
  </si>
  <si>
    <t xml:space="preserve">London · 06.–07.10.2026 · Auslagen und Pauschalen · Sätze siehe Blatt „Saetze 2026“</t>
  </si>
  <si>
    <t xml:space="preserve">Abrechnung an</t>
  </si>
  <si>
    <t xml:space="preserve">CGT UG</t>
  </si>
  <si>
    <t xml:space="preserve">Gelb = ausfüllen</t>
  </si>
  <si>
    <t xml:space="preserve">Reisende/r</t>
  </si>
  <si>
    <t xml:space="preserve">Sascha Elimar Coldewey, Im Zuckergarten 28, 55129 Mainz</t>
  </si>
  <si>
    <t xml:space="preserve">Weiß = rechnet sich</t>
  </si>
  <si>
    <t xml:space="preserve">Funktion</t>
  </si>
  <si>
    <t xml:space="preserve">Inhaber, CEO</t>
  </si>
  <si>
    <t xml:space="preserve">Beträge aus dem</t>
  </si>
  <si>
    <t xml:space="preserve">Reisezweck</t>
  </si>
  <si>
    <t xml:space="preserve">Kontoauszug belegt.</t>
  </si>
  <si>
    <t xml:space="preserve">Reiseziel</t>
  </si>
  <si>
    <t xml:space="preserve">London, Vereinigtes Königreich</t>
  </si>
  <si>
    <t xml:space="preserve">Reise von (Datum, Uhrzeit)</t>
  </si>
  <si>
    <t xml:space="preserve">06.10.2026, __:__</t>
  </si>
  <si>
    <t xml:space="preserve">Reise bis (Datum, Uhrzeit)</t>
  </si>
  <si>
    <t xml:space="preserve">07.10.2026, 22:05</t>
  </si>
  <si>
    <t xml:space="preserve">Abrechnung erstellt am</t>
  </si>
  <si>
    <t xml:space="preserve">21.10.2026</t>
  </si>
  <si>
    <t xml:space="preserve">Noch einzutragen — danach rechnet sich alles von selbst</t>
  </si>
  <si>
    <t xml:space="preserve">Feld</t>
  </si>
  <si>
    <t xml:space="preserve">Was</t>
  </si>
  <si>
    <t xml:space="preserve">Betrag</t>
  </si>
  <si>
    <t xml:space="preserve">Zelle I51</t>
  </si>
  <si>
    <t xml:space="preserve">Hotel London</t>
  </si>
  <si>
    <t xml:space="preserve">Übernachtung 07. auf 08.10., ohne Frühstücksanteil</t>
  </si>
  <si>
    <t xml:space="preserve">A · Fahrt mit eigenem Fahrzeug</t>
  </si>
  <si>
    <t xml:space="preserve">Datum</t>
  </si>
  <si>
    <t xml:space="preserve">Strecke</t>
  </si>
  <si>
    <t xml:space="preserve">Fahrzeug</t>
  </si>
  <si>
    <t xml:space="preserve">Kilometer</t>
  </si>
  <si>
    <t xml:space="preserve">€/km</t>
  </si>
  <si>
    <t xml:space="preserve">06.10.2026</t>
  </si>
  <si>
    <t xml:space="preserve">Im Zuckergarten 28 → FRA Terminal 3 und zurück</t>
  </si>
  <si>
    <t xml:space="preserve">Pkw, je Kilometer</t>
  </si>
  <si>
    <t xml:space="preserve">Summe Fahrt eigenes Fahrzeug</t>
  </si>
  <si>
    <t xml:space="preserve">B · Fahrtkosten und Transport mit Beleg</t>
  </si>
  <si>
    <t xml:space="preserve">Art</t>
  </si>
  <si>
    <t xml:space="preserve">Beschreibung</t>
  </si>
  <si>
    <t xml:space="preserve">07.10.2026</t>
  </si>
  <si>
    <t xml:space="preserve">Flughafen-Parken</t>
  </si>
  <si>
    <t xml:space="preserve">Parkhaus FRA Terminal 3, 06.–07.10.</t>
  </si>
  <si>
    <t xml:space="preserve">U-Bahn London</t>
  </si>
  <si>
    <t xml:space="preserve">LUL Ticket Machine, 7,00 GBP</t>
  </si>
  <si>
    <t xml:space="preserve">TfL Nachzahlung</t>
  </si>
  <si>
    <t xml:space="preserve">TFL Unpaid Fare, 26,00 GBP — siehe Hinweis</t>
  </si>
  <si>
    <t xml:space="preserve">Nahverkehr London</t>
  </si>
  <si>
    <t xml:space="preserve">About Town Business Services, 3,15 GBP</t>
  </si>
  <si>
    <t xml:space="preserve">About Town Business Services, 2,00 GBP</t>
  </si>
  <si>
    <t xml:space="preserve">Summe Fahrtkosten mit Beleg</t>
  </si>
  <si>
    <t xml:space="preserve">C · Verpflegungsmehraufwand (Pauschale, kein Beleg nötig)</t>
  </si>
  <si>
    <t xml:space="preserve">Ort / Land</t>
  </si>
  <si>
    <t xml:space="preserve">Abwesenheit</t>
  </si>
  <si>
    <t xml:space="preserve">Pauschale</t>
  </si>
  <si>
    <t xml:space="preserve">Kürzung</t>
  </si>
  <si>
    <t xml:space="preserve">F</t>
  </si>
  <si>
    <t xml:space="preserve">M</t>
  </si>
  <si>
    <t xml:space="preserve">A</t>
  </si>
  <si>
    <t xml:space="preserve">London</t>
  </si>
  <si>
    <t xml:space="preserve">An-/Abreisetag</t>
  </si>
  <si>
    <t xml:space="preserve">Summe Verpflegungsmehraufwand</t>
  </si>
  <si>
    <t xml:space="preserve">D · Übernachtung (mit Beleg, ohne Frühstücksanteil)</t>
  </si>
  <si>
    <t xml:space="preserve">Hotel / Ort</t>
  </si>
  <si>
    <t xml:space="preserve">Beleg-Nr.</t>
  </si>
  <si>
    <t xml:space="preserve">Hotel London, Nacht 06. auf 07.10.</t>
  </si>
  <si>
    <t xml:space="preserve">Beleg fehlt</t>
  </si>
  <si>
    <t xml:space="preserve">Summe Übernachtung</t>
  </si>
  <si>
    <t xml:space="preserve">E · Sonstige Reisenebenkosten</t>
  </si>
  <si>
    <t xml:space="preserve">Einreisegenehmigung</t>
  </si>
  <si>
    <t xml:space="preserve">UKVI ETA, Pflicht für UK-Einreise</t>
  </si>
  <si>
    <t xml:space="preserve">Summe sonstige Nebenkosten</t>
  </si>
  <si>
    <t xml:space="preserve">Ergebnis</t>
  </si>
  <si>
    <t xml:space="preserve">Summe A bis E</t>
  </si>
  <si>
    <t xml:space="preserve">abzüglich Vorschuss</t>
  </si>
  <si>
    <t xml:space="preserve">abzüglich direkt von der Firma bezahlt</t>
  </si>
  <si>
    <t xml:space="preserve">Zu erstatten</t>
  </si>
  <si>
    <t xml:space="preserve">_______________________________</t>
  </si>
  <si>
    <t xml:space="preserve">Ort, Datum</t>
  </si>
  <si>
    <t xml:space="preserve">Unterschrift</t>
  </si>
  <si>
    <t xml:space="preserve">Offene Punkte und bewusst nicht aufgenommene Positionen</t>
  </si>
  <si>
    <t xml:space="preserve">OFFEN</t>
  </si>
  <si>
    <t xml:space="preserve">Fehlt im Kopf. Ohne betrieblichen Anlass ist die Reise nicht absetzbar — Zweck und, wenn möglich, Gesprächspartner eintragen.</t>
  </si>
  <si>
    <t xml:space="preserve">—</t>
  </si>
  <si>
    <t xml:space="preserve">Flüge</t>
  </si>
  <si>
    <t xml:space="preserve">Nicht in dieser Abrechnung: beide Flüge (201,95 €) hat die Coldewey Holding GmbH gezahlt und belastet sie CGT separat weiter. Siehe die zweite Datei, „Weiterbelastung Flüge“.</t>
  </si>
  <si>
    <t xml:space="preserve">Verpflegungspauschale</t>
  </si>
  <si>
    <t xml:space="preserve">88,00 € zahlt CGT an dich. Steuerfrei ist so eine Erstattung nur vom Arbeitgeber — deinen Lohn zahlt aber die Coldewey Holding. Ob CGT das steuerfrei darf oder ob die Pauschale besser über die Holding läuft, mit dem Steuerberater klären.</t>
  </si>
  <si>
    <t xml:space="preserve">Hotel</t>
  </si>
  <si>
    <t xml:space="preserve">Nacht 06. auf 07.10., Betrag in Block D eintragen. Im Kontoauszug dieses Kontos ist die Zahlung nicht — Rechnung beilegen. Enthält sie Frühstück, den Anteil herausrechnen und in Block C das „F“ setzen, das kürzt die Pauschale um 13,20 €.</t>
  </si>
  <si>
    <t xml:space="preserve">TfL 30,68 €</t>
  </si>
  <si>
    <t xml:space="preserve">„Unpaid Fare“: Fahrpreis-Nachzahlung ist absetzbar, ein Bußgeld nicht. Prüfen.</t>
  </si>
  <si>
    <t xml:space="preserve">About Town</t>
  </si>
  <si>
    <t xml:space="preserve">3 Buchungen über zusammen 9,81 € nicht eindeutig zuzuordnen. Prüfen.</t>
  </si>
  <si>
    <t xml:space="preserve">UPS-Einfuhrabgaben</t>
  </si>
  <si>
    <t xml:space="preserve">11,23 €, Paket zugestellt am 26.08.2026 — sechs Wochen vor dieser Reise und ohne Bezug zu ihr. Gehört nicht in die Reisekostenabrechnung, sondern als eigene Betriebsausgabe gebucht, falls die Sendung betrieblich war. Im privaten Kontoauszug ist die Zahlung nicht zu finden.</t>
  </si>
  <si>
    <t xml:space="preserve">Essen in London</t>
  </si>
  <si>
    <t xml:space="preserve">Pret a Manger, Costa, Nazari Food, WH Smith: zusammen 43,74 €. Wird NICHT zusätzlich erstattet, die Verpflegungspauschale deckt das ab. Die Pauschale von 88 € liegt deutlich darüber.</t>
  </si>
  <si>
    <t xml:space="preserve">Belegdaten</t>
  </si>
  <si>
    <t xml:space="preserve">Die Daten in den Blöcken B und E sind die Kauftage. Im Kontoauszug stehen sie ein bis zwei Tage später, weil der Händler den Kartenumsatz erst dann einreicht. Deshalb sah der Auszug zunächst nach 07.–08.10. aus.</t>
  </si>
  <si>
    <t xml:space="preserve">Vorsteuer Flüge</t>
  </si>
  <si>
    <t xml:space="preserve">Grenzüberschreitende Flüge sind in Deutschland nicht umsatzsteuerpflichtig. Aus den 201,95 € ist keine Vorsteuer zu ziehen.</t>
  </si>
  <si>
    <t xml:space="preserve">Pauschalen 2026</t>
  </si>
  <si>
    <t xml:space="preserve">Diese Werte steuern die Formeln im Blatt „Abrechnung“. Ändern sich die Sätze, nur hier anfassen.</t>
  </si>
  <si>
    <t xml:space="preserve">Schlüssel</t>
  </si>
  <si>
    <t xml:space="preserve">voller Tag (24 h)</t>
  </si>
  <si>
    <t xml:space="preserve">über 8 h</t>
  </si>
  <si>
    <t xml:space="preserve">unter 8 h</t>
  </si>
  <si>
    <t xml:space="preserve">Übernachtung ohne Beleg</t>
  </si>
  <si>
    <t xml:space="preserve">Deutschland (Inland)</t>
  </si>
  <si>
    <t xml:space="preserve">Inland</t>
  </si>
  <si>
    <t xml:space="preserve">Vereinigtes Königreich übrig</t>
  </si>
  <si>
    <t xml:space="preserve">Großbritannien</t>
  </si>
  <si>
    <t xml:space="preserve">Kürzung bei gestellter Mahlzeit — Anteil vom vollen Tagessatz des jeweiligen Ortes</t>
  </si>
  <si>
    <t xml:space="preserve">Frühstück</t>
  </si>
  <si>
    <t xml:space="preserve">Mittagessen</t>
  </si>
  <si>
    <t xml:space="preserve">Abendessen</t>
  </si>
  <si>
    <t xml:space="preserve">Fahrtkosten eigenes Fahrzeug (Dienstreise)</t>
  </si>
  <si>
    <t xml:space="preserve">Motorrad / Moped, je Kilometer</t>
  </si>
  <si>
    <t xml:space="preserve">Fahrrad, je Kilometer</t>
  </si>
  <si>
    <t xml:space="preserve">Quellen und Vorbehalte</t>
  </si>
  <si>
    <t xml:space="preserve">Inland 28 €/14 €: § 9 Abs. 4a EStG, für 2026 unverändert.</t>
  </si>
  <si>
    <t xml:space="preserve">London 66 €/44 €, Übernachtung 163 €: BMF-Schreiben vom 05.12.2025 zu Auslandsreisekosten ab 01.01.2026.</t>
  </si>
  <si>
    <t xml:space="preserve">   Übereinstimmend aus mehreren Sekundärquellen; vor Einreichung gegen die amtliche BMF-Tabelle prüfen.</t>
  </si>
  <si>
    <t xml:space="preserve">Kilometersatz Dienstreise Pkw 0,30 €/km: für 2026 unverändert.</t>
  </si>
  <si>
    <t xml:space="preserve">Entfernungspauschale ab 2026 einheitlich 0,38 €/km — betrifft diese Abrechnung NICHT.</t>
  </si>
  <si>
    <t xml:space="preserve">Übernachtungspauschale ohne Beleg: nur für die steuerfreie Arbeitgeber-Erstattung,</t>
  </si>
  <si>
    <t xml:space="preserve">   nicht für den Betriebsausgabenabzug. Vor Nutzung mit dem Steuerberater klären.</t>
  </si>
</sst>
</file>

<file path=xl/styles.xml><?xml version="1.0" encoding="utf-8"?>
<styleSheet xmlns="http://schemas.openxmlformats.org/spreadsheetml/2006/main">
  <numFmts count="6">
    <numFmt numFmtId="164" formatCode="General"/>
    <numFmt numFmtId="165" formatCode="&quot;TT.&quot;mm&quot;.JJJJ&quot;"/>
    <numFmt numFmtId="166" formatCode="#,##0"/>
    <numFmt numFmtId="167" formatCode="0.00&quot; €&quot;"/>
    <numFmt numFmtId="168" formatCode="#,##0.00&quot; €&quot;;\-#,##0.00&quot; €&quot;;\-"/>
    <numFmt numFmtId="169" formatCode="0\ %"/>
  </numFmts>
  <fonts count="15">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8"/>
      <color rgb="FF595959"/>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b val="true"/>
      <sz val="9"/>
      <name val="Arial"/>
      <family val="0"/>
      <charset val="1"/>
    </font>
    <font>
      <b val="true"/>
      <sz val="9"/>
      <color rgb="FFC00000"/>
      <name val="Arial"/>
      <family val="0"/>
      <charset val="1"/>
    </font>
    <font>
      <sz val="10"/>
      <name val="Arial"/>
      <family val="0"/>
      <charset val="1"/>
    </font>
    <font>
      <sz val="10"/>
      <color rgb="FFC00000"/>
      <name val="Arial"/>
      <family val="0"/>
      <charset val="1"/>
    </font>
    <font>
      <b val="true"/>
      <sz val="12"/>
      <name val="Arial"/>
      <family val="0"/>
      <charset val="1"/>
    </font>
    <font>
      <sz val="10"/>
      <name val="Arial"/>
      <family val="2"/>
    </font>
  </fonts>
  <fills count="9">
    <fill>
      <patternFill patternType="none"/>
    </fill>
    <fill>
      <patternFill patternType="gray125"/>
    </fill>
    <fill>
      <patternFill patternType="solid">
        <fgColor rgb="FFFFFF99"/>
        <bgColor rgb="FFF2F2F2"/>
      </patternFill>
    </fill>
    <fill>
      <patternFill patternType="solid">
        <fgColor rgb="FF2F4F4F"/>
        <bgColor rgb="FF595959"/>
      </patternFill>
    </fill>
    <fill>
      <patternFill patternType="solid">
        <fgColor rgb="FFE8E8E8"/>
        <bgColor rgb="FFF2F2F2"/>
      </patternFill>
    </fill>
    <fill>
      <patternFill patternType="solid">
        <fgColor rgb="FFFCE4E4"/>
        <bgColor rgb="FFE8E8E8"/>
      </patternFill>
    </fill>
    <fill>
      <patternFill patternType="solid">
        <fgColor rgb="FFF2F2F2"/>
        <bgColor rgb="FFE8E8E8"/>
      </patternFill>
    </fill>
    <fill>
      <patternFill patternType="solid">
        <fgColor rgb="FFFFC7CE"/>
        <bgColor rgb="FFFCE4E4"/>
      </patternFill>
    </fill>
    <fill>
      <patternFill patternType="solid">
        <fgColor rgb="FFD9E1D9"/>
        <bgColor rgb="FFE8E8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left" vertical="center" textRotation="0" wrapText="false" indent="1"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left"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8" fontId="6" fillId="6"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7" fillId="2" borderId="1"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8" fontId="7" fillId="7"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3" fillId="8" borderId="1" xfId="0" applyFont="true" applyBorder="true" applyAlignment="false" applyProtection="false">
      <alignment horizontal="general" vertical="bottom" textRotation="0" wrapText="false" indent="0" shrinkToFit="false"/>
      <protection locked="true" hidden="false"/>
    </xf>
    <xf numFmtId="168" fontId="13" fillId="8" borderId="1" xfId="0" applyFont="true" applyBorder="true" applyAlignment="fals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center"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fals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8E8E8"/>
      <rgbColor rgb="FF660066"/>
      <rgbColor rgb="FFFF8080"/>
      <rgbColor rgb="FF0066CC"/>
      <rgbColor rgb="FFD9E1D9"/>
      <rgbColor rgb="FF000080"/>
      <rgbColor rgb="FFFF00FF"/>
      <rgbColor rgb="FFFFFF00"/>
      <rgbColor rgb="FF00FFFF"/>
      <rgbColor rgb="FF800080"/>
      <rgbColor rgb="FF800000"/>
      <rgbColor rgb="FF008080"/>
      <rgbColor rgb="FF0000FF"/>
      <rgbColor rgb="FF00CCFF"/>
      <rgbColor rgb="FFCCFFFF"/>
      <rgbColor rgb="FFFCE4E4"/>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7"/>
    <col collapsed="false" customWidth="true" hidden="false" outlineLevel="0" max="3" min="3" style="0" width="20"/>
    <col collapsed="false" customWidth="true" hidden="false" outlineLevel="0" max="4" min="4" style="0" width="12"/>
    <col collapsed="false" customWidth="true" hidden="false" outlineLevel="0" max="5" min="5" style="0" width="10"/>
    <col collapsed="false" customWidth="true" hidden="false" outlineLevel="0" max="8" min="6" style="0" width="5"/>
    <col collapsed="false" customWidth="true" hidden="false" outlineLevel="0" max="9" min="9" style="0" width="13"/>
  </cols>
  <sheetData>
    <row r="1" customFormat="false" ht="19.7" hidden="false" customHeight="false" outlineLevel="0" collapsed="false">
      <c r="A1" s="1" t="s">
        <v>0</v>
      </c>
      <c r="B1" s="1"/>
      <c r="C1" s="1"/>
      <c r="D1" s="1"/>
      <c r="E1" s="1"/>
      <c r="F1" s="1"/>
      <c r="G1" s="1"/>
      <c r="H1" s="1"/>
      <c r="I1" s="1"/>
    </row>
    <row r="2" customFormat="false" ht="15" hidden="false" customHeight="false" outlineLevel="0" collapsed="false">
      <c r="A2" s="2" t="s">
        <v>1</v>
      </c>
      <c r="B2" s="2"/>
      <c r="C2" s="2"/>
      <c r="D2" s="2"/>
      <c r="E2" s="2"/>
      <c r="F2" s="2"/>
      <c r="G2" s="2"/>
      <c r="H2" s="2"/>
      <c r="I2" s="2"/>
    </row>
    <row r="4" customFormat="false" ht="15" hidden="false" customHeight="false" outlineLevel="0" collapsed="false">
      <c r="A4" s="3" t="s">
        <v>2</v>
      </c>
      <c r="B4" s="4" t="s">
        <v>3</v>
      </c>
      <c r="C4" s="4"/>
      <c r="D4" s="4"/>
      <c r="E4" s="4"/>
      <c r="G4" s="5" t="s">
        <v>4</v>
      </c>
    </row>
    <row r="5" customFormat="false" ht="15" hidden="false" customHeight="false" outlineLevel="0" collapsed="false">
      <c r="A5" s="3" t="s">
        <v>5</v>
      </c>
      <c r="B5" s="4" t="s">
        <v>6</v>
      </c>
      <c r="C5" s="4"/>
      <c r="D5" s="4"/>
      <c r="E5" s="4"/>
      <c r="G5" s="5" t="s">
        <v>7</v>
      </c>
    </row>
    <row r="6" customFormat="false" ht="15" hidden="false" customHeight="false" outlineLevel="0" collapsed="false">
      <c r="A6" s="3" t="s">
        <v>8</v>
      </c>
      <c r="B6" s="4" t="s">
        <v>9</v>
      </c>
      <c r="C6" s="4"/>
      <c r="D6" s="4"/>
      <c r="E6" s="4"/>
      <c r="G6" s="2" t="s">
        <v>10</v>
      </c>
      <c r="H6" s="2"/>
      <c r="I6" s="2"/>
    </row>
    <row r="7" customFormat="false" ht="15" hidden="false" customHeight="false" outlineLevel="0" collapsed="false">
      <c r="A7" s="3" t="s">
        <v>11</v>
      </c>
      <c r="B7" s="4"/>
      <c r="C7" s="4"/>
      <c r="D7" s="4"/>
      <c r="E7" s="4"/>
      <c r="G7" s="2" t="s">
        <v>12</v>
      </c>
      <c r="H7" s="2"/>
      <c r="I7" s="2"/>
    </row>
    <row r="8" customFormat="false" ht="15" hidden="false" customHeight="false" outlineLevel="0" collapsed="false">
      <c r="A8" s="3" t="s">
        <v>13</v>
      </c>
      <c r="B8" s="4" t="s">
        <v>14</v>
      </c>
      <c r="C8" s="4"/>
      <c r="D8" s="4"/>
      <c r="E8" s="4"/>
    </row>
    <row r="9" customFormat="false" ht="15" hidden="false" customHeight="false" outlineLevel="0" collapsed="false">
      <c r="A9" s="3" t="s">
        <v>15</v>
      </c>
      <c r="B9" s="4" t="s">
        <v>16</v>
      </c>
      <c r="C9" s="4"/>
      <c r="D9" s="4"/>
      <c r="E9" s="4"/>
    </row>
    <row r="10" customFormat="false" ht="15" hidden="false" customHeight="false" outlineLevel="0" collapsed="false">
      <c r="A10" s="3" t="s">
        <v>17</v>
      </c>
      <c r="B10" s="4" t="s">
        <v>18</v>
      </c>
      <c r="C10" s="4"/>
      <c r="D10" s="4"/>
      <c r="E10" s="4"/>
    </row>
    <row r="11" customFormat="false" ht="15" hidden="false" customHeight="false" outlineLevel="0" collapsed="false">
      <c r="A11" s="3" t="s">
        <v>19</v>
      </c>
      <c r="B11" s="4" t="s">
        <v>20</v>
      </c>
      <c r="C11" s="4"/>
      <c r="D11" s="4"/>
      <c r="E11" s="4"/>
    </row>
    <row r="13" customFormat="false" ht="19.5" hidden="false" customHeight="true" outlineLevel="0" collapsed="false">
      <c r="A13" s="6" t="s">
        <v>21</v>
      </c>
      <c r="B13" s="6"/>
      <c r="C13" s="6"/>
      <c r="D13" s="6"/>
      <c r="E13" s="6"/>
      <c r="F13" s="6"/>
      <c r="G13" s="6"/>
      <c r="H13" s="6"/>
      <c r="I13" s="6"/>
    </row>
    <row r="14" customFormat="false" ht="24" hidden="false" customHeight="true" outlineLevel="0" collapsed="false">
      <c r="A14" s="7" t="s">
        <v>22</v>
      </c>
      <c r="B14" s="7" t="s">
        <v>23</v>
      </c>
      <c r="I14" s="7" t="s">
        <v>24</v>
      </c>
    </row>
    <row r="15" customFormat="false" ht="25.5" hidden="false" customHeight="true" outlineLevel="0" collapsed="false">
      <c r="A15" s="8" t="s">
        <v>25</v>
      </c>
      <c r="B15" s="9" t="s">
        <v>26</v>
      </c>
      <c r="C15" s="10" t="s">
        <v>27</v>
      </c>
      <c r="D15" s="10"/>
      <c r="E15" s="10"/>
      <c r="F15" s="10"/>
      <c r="G15" s="10"/>
      <c r="H15" s="10"/>
      <c r="I15" s="11" t="str">
        <f aca="false">IF(N(I51)=0,"fehlt","erledigt")</f>
        <v>fehlt</v>
      </c>
    </row>
    <row r="19" customFormat="false" ht="19.5" hidden="false" customHeight="true" outlineLevel="0" collapsed="false">
      <c r="A19" s="6" t="s">
        <v>28</v>
      </c>
      <c r="B19" s="6"/>
      <c r="C19" s="6"/>
      <c r="D19" s="6"/>
      <c r="E19" s="6"/>
      <c r="F19" s="6"/>
      <c r="G19" s="6"/>
      <c r="H19" s="6"/>
      <c r="I19" s="6"/>
    </row>
    <row r="20" customFormat="false" ht="24" hidden="false" customHeight="true" outlineLevel="0" collapsed="false">
      <c r="A20" s="7" t="s">
        <v>29</v>
      </c>
      <c r="B20" s="7" t="s">
        <v>30</v>
      </c>
      <c r="C20" s="7" t="s">
        <v>31</v>
      </c>
      <c r="D20" s="7" t="s">
        <v>32</v>
      </c>
      <c r="E20" s="7" t="s">
        <v>33</v>
      </c>
      <c r="I20" s="7" t="s">
        <v>24</v>
      </c>
    </row>
    <row r="21" customFormat="false" ht="15" hidden="false" customHeight="false" outlineLevel="0" collapsed="false">
      <c r="A21" s="12" t="s">
        <v>34</v>
      </c>
      <c r="B21" s="4" t="s">
        <v>35</v>
      </c>
      <c r="C21" s="4" t="s">
        <v>36</v>
      </c>
      <c r="D21" s="13" t="n">
        <v>70</v>
      </c>
      <c r="E21" s="14" t="n">
        <f aca="false">IF($D21="","",IFERROR(INDEX('Saetze 2026'!$C$15:$C$17,MATCH($C21,'Saetze 2026'!$A$15:$A$17,0)),'Saetze 2026'!$C$15))</f>
        <v>0.3</v>
      </c>
      <c r="F21" s="14"/>
      <c r="G21" s="14"/>
      <c r="H21" s="14"/>
      <c r="I21" s="15" t="n">
        <f aca="false">IF($D21="","",$D21*$E21)</f>
        <v>21</v>
      </c>
    </row>
    <row r="22" customFormat="false" ht="15" hidden="false" customHeight="false" outlineLevel="0" collapsed="false">
      <c r="A22" s="12"/>
      <c r="B22" s="4"/>
      <c r="C22" s="4"/>
      <c r="D22" s="13"/>
      <c r="E22" s="14" t="str">
        <f aca="false">IF($D22="","",IFERROR(INDEX('Saetze 2026'!$C$15:$C$17,MATCH($C22,'Saetze 2026'!$A$15:$A$17,0)),'Saetze 2026'!$C$15))</f>
        <v/>
      </c>
      <c r="F22" s="14"/>
      <c r="G22" s="14"/>
      <c r="H22" s="14"/>
      <c r="I22" s="15" t="str">
        <f aca="false">IF($D22="","",$D22*$E22)</f>
        <v/>
      </c>
    </row>
    <row r="23" customFormat="false" ht="15" hidden="false" customHeight="false" outlineLevel="0" collapsed="false">
      <c r="A23" s="12"/>
      <c r="B23" s="4"/>
      <c r="C23" s="4"/>
      <c r="D23" s="13"/>
      <c r="E23" s="14" t="str">
        <f aca="false">IF($D23="","",IFERROR(INDEX('Saetze 2026'!$C$15:$C$17,MATCH($C23,'Saetze 2026'!$A$15:$A$17,0)),'Saetze 2026'!$C$15))</f>
        <v/>
      </c>
      <c r="F23" s="14"/>
      <c r="G23" s="14"/>
      <c r="H23" s="14"/>
      <c r="I23" s="15" t="str">
        <f aca="false">IF($D23="","",$D23*$E23)</f>
        <v/>
      </c>
    </row>
    <row r="24" customFormat="false" ht="15" hidden="false" customHeight="false" outlineLevel="0" collapsed="false">
      <c r="A24" s="12"/>
      <c r="B24" s="4"/>
      <c r="C24" s="4"/>
      <c r="D24" s="13"/>
      <c r="E24" s="14" t="str">
        <f aca="false">IF($D24="","",IFERROR(INDEX('Saetze 2026'!$C$15:$C$17,MATCH($C24,'Saetze 2026'!$A$15:$A$17,0)),'Saetze 2026'!$C$15))</f>
        <v/>
      </c>
      <c r="F24" s="14"/>
      <c r="G24" s="14"/>
      <c r="H24" s="14"/>
      <c r="I24" s="15" t="str">
        <f aca="false">IF($D24="","",$D24*$E24)</f>
        <v/>
      </c>
    </row>
    <row r="25" customFormat="false" ht="15" hidden="false" customHeight="false" outlineLevel="0" collapsed="false">
      <c r="A25" s="16"/>
      <c r="B25" s="17" t="s">
        <v>37</v>
      </c>
      <c r="C25" s="16"/>
      <c r="D25" s="16"/>
      <c r="E25" s="16"/>
      <c r="F25" s="16"/>
      <c r="G25" s="16"/>
      <c r="H25" s="16"/>
      <c r="I25" s="18" t="n">
        <f aca="false">SUM(I21:I24)</f>
        <v>21</v>
      </c>
    </row>
    <row r="27" customFormat="false" ht="19.5" hidden="false" customHeight="true" outlineLevel="0" collapsed="false">
      <c r="A27" s="6" t="s">
        <v>38</v>
      </c>
      <c r="B27" s="6"/>
      <c r="C27" s="6"/>
      <c r="D27" s="6"/>
      <c r="E27" s="6"/>
      <c r="F27" s="6"/>
      <c r="G27" s="6"/>
      <c r="H27" s="6"/>
      <c r="I27" s="6"/>
    </row>
    <row r="28" customFormat="false" ht="24" hidden="false" customHeight="true" outlineLevel="0" collapsed="false">
      <c r="A28" s="7" t="s">
        <v>29</v>
      </c>
      <c r="B28" s="7" t="s">
        <v>39</v>
      </c>
      <c r="C28" s="7" t="s">
        <v>40</v>
      </c>
      <c r="I28" s="7" t="s">
        <v>24</v>
      </c>
    </row>
    <row r="29" customFormat="false" ht="15" hidden="false" customHeight="false" outlineLevel="0" collapsed="false">
      <c r="A29" s="12" t="s">
        <v>41</v>
      </c>
      <c r="B29" s="4" t="s">
        <v>42</v>
      </c>
      <c r="C29" s="4" t="s">
        <v>43</v>
      </c>
      <c r="D29" s="19"/>
      <c r="E29" s="19"/>
      <c r="F29" s="19"/>
      <c r="G29" s="19"/>
      <c r="H29" s="19"/>
      <c r="I29" s="20" t="n">
        <v>86</v>
      </c>
    </row>
    <row r="30" customFormat="false" ht="15" hidden="false" customHeight="false" outlineLevel="0" collapsed="false">
      <c r="A30" s="12" t="s">
        <v>41</v>
      </c>
      <c r="B30" s="4" t="s">
        <v>44</v>
      </c>
      <c r="C30" s="4" t="s">
        <v>45</v>
      </c>
      <c r="D30" s="19"/>
      <c r="E30" s="19"/>
      <c r="F30" s="19"/>
      <c r="G30" s="19"/>
      <c r="H30" s="19"/>
      <c r="I30" s="20" t="n">
        <v>8.26</v>
      </c>
    </row>
    <row r="31" customFormat="false" ht="15" hidden="false" customHeight="false" outlineLevel="0" collapsed="false">
      <c r="A31" s="12" t="s">
        <v>41</v>
      </c>
      <c r="B31" s="4" t="s">
        <v>46</v>
      </c>
      <c r="C31" s="4" t="s">
        <v>47</v>
      </c>
      <c r="D31" s="19"/>
      <c r="E31" s="19"/>
      <c r="F31" s="19"/>
      <c r="G31" s="19"/>
      <c r="H31" s="19"/>
      <c r="I31" s="20" t="n">
        <v>30.68</v>
      </c>
    </row>
    <row r="32" customFormat="false" ht="15" hidden="false" customHeight="false" outlineLevel="0" collapsed="false">
      <c r="A32" s="12" t="s">
        <v>34</v>
      </c>
      <c r="B32" s="4" t="s">
        <v>48</v>
      </c>
      <c r="C32" s="4" t="s">
        <v>49</v>
      </c>
      <c r="D32" s="19"/>
      <c r="E32" s="19"/>
      <c r="F32" s="19"/>
      <c r="G32" s="19"/>
      <c r="H32" s="19"/>
      <c r="I32" s="20" t="n">
        <v>3.73</v>
      </c>
    </row>
    <row r="33" customFormat="false" ht="15" hidden="false" customHeight="false" outlineLevel="0" collapsed="false">
      <c r="A33" s="12" t="s">
        <v>41</v>
      </c>
      <c r="B33" s="21" t="s">
        <v>48</v>
      </c>
      <c r="C33" s="4" t="s">
        <v>49</v>
      </c>
      <c r="D33" s="19"/>
      <c r="E33" s="19"/>
      <c r="F33" s="19"/>
      <c r="G33" s="19"/>
      <c r="H33" s="19"/>
      <c r="I33" s="20" t="n">
        <v>3.72</v>
      </c>
    </row>
    <row r="34" customFormat="false" ht="15" hidden="false" customHeight="false" outlineLevel="0" collapsed="false">
      <c r="A34" s="12" t="s">
        <v>41</v>
      </c>
      <c r="B34" s="4" t="s">
        <v>48</v>
      </c>
      <c r="C34" s="4" t="s">
        <v>50</v>
      </c>
      <c r="D34" s="19"/>
      <c r="E34" s="19"/>
      <c r="F34" s="19"/>
      <c r="G34" s="19"/>
      <c r="H34" s="19"/>
      <c r="I34" s="20" t="n">
        <v>2.36</v>
      </c>
    </row>
    <row r="35" customFormat="false" ht="15" hidden="false" customHeight="false" outlineLevel="0" collapsed="false">
      <c r="A35" s="12"/>
      <c r="B35" s="4"/>
      <c r="C35" s="4"/>
      <c r="D35" s="19"/>
      <c r="E35" s="19"/>
      <c r="F35" s="19"/>
      <c r="G35" s="19"/>
      <c r="H35" s="19"/>
      <c r="I35" s="20"/>
    </row>
    <row r="36" customFormat="false" ht="15" hidden="false" customHeight="false" outlineLevel="0" collapsed="false">
      <c r="A36" s="12"/>
      <c r="B36" s="4"/>
      <c r="C36" s="4"/>
      <c r="D36" s="19"/>
      <c r="E36" s="19"/>
      <c r="F36" s="19"/>
      <c r="G36" s="19"/>
      <c r="H36" s="19"/>
      <c r="I36" s="20"/>
    </row>
    <row r="37" customFormat="false" ht="15" hidden="false" customHeight="false" outlineLevel="0" collapsed="false">
      <c r="A37" s="16"/>
      <c r="B37" s="17" t="s">
        <v>51</v>
      </c>
      <c r="C37" s="16"/>
      <c r="D37" s="16"/>
      <c r="E37" s="16"/>
      <c r="F37" s="16"/>
      <c r="G37" s="16"/>
      <c r="H37" s="16"/>
      <c r="I37" s="18" t="n">
        <f aca="false">SUM(I29:I36)</f>
        <v>134.75</v>
      </c>
    </row>
    <row r="39" customFormat="false" ht="19.5" hidden="false" customHeight="true" outlineLevel="0" collapsed="false">
      <c r="A39" s="6" t="s">
        <v>52</v>
      </c>
      <c r="B39" s="6"/>
      <c r="C39" s="6"/>
      <c r="D39" s="6"/>
      <c r="E39" s="6"/>
      <c r="F39" s="6"/>
      <c r="G39" s="6"/>
      <c r="H39" s="6"/>
      <c r="I39" s="6"/>
    </row>
    <row r="40" customFormat="false" ht="24" hidden="false" customHeight="true" outlineLevel="0" collapsed="false">
      <c r="A40" s="7" t="s">
        <v>29</v>
      </c>
      <c r="B40" s="7" t="s">
        <v>53</v>
      </c>
      <c r="C40" s="7" t="s">
        <v>54</v>
      </c>
      <c r="D40" s="7" t="s">
        <v>55</v>
      </c>
      <c r="E40" s="7" t="s">
        <v>56</v>
      </c>
      <c r="F40" s="7" t="s">
        <v>57</v>
      </c>
      <c r="G40" s="7" t="s">
        <v>58</v>
      </c>
      <c r="H40" s="7" t="s">
        <v>59</v>
      </c>
      <c r="I40" s="7" t="s">
        <v>24</v>
      </c>
    </row>
    <row r="41" customFormat="false" ht="15" hidden="false" customHeight="false" outlineLevel="0" collapsed="false">
      <c r="A41" s="12" t="s">
        <v>34</v>
      </c>
      <c r="B41" s="4" t="s">
        <v>60</v>
      </c>
      <c r="C41" s="4" t="s">
        <v>61</v>
      </c>
      <c r="D41" s="15" t="n">
        <f aca="false">IF($A41="","",IFERROR(INDEX('Saetze 2026'!$C$5:$F$7,MATCH($B41,'Saetze 2026'!$B$5:$B$7,0),MATCH($C41,'Saetze 2026'!$C$4:$F$4,0)),0))</f>
        <v>44</v>
      </c>
      <c r="E41" s="15" t="n">
        <f aca="false">IF($A41="","",IFERROR(INDEX('Saetze 2026'!$C$5:$C$7,MATCH($B41,'Saetze 2026'!$B$5:$B$7,0)),0)*(IF(LOWER($F41)="x",'Saetze 2026'!$B$10,0)+IF(LOWER($G41)="x",'Saetze 2026'!$B$11,0)+IF(LOWER($H41)="x",'Saetze 2026'!$B$12,0)))</f>
        <v>0</v>
      </c>
      <c r="F41" s="22"/>
      <c r="G41" s="22"/>
      <c r="H41" s="22"/>
      <c r="I41" s="15" t="n">
        <f aca="false">IF($A41="","",MAX(0,$D41-$E41))</f>
        <v>44</v>
      </c>
    </row>
    <row r="42" customFormat="false" ht="15" hidden="false" customHeight="false" outlineLevel="0" collapsed="false">
      <c r="A42" s="12" t="s">
        <v>41</v>
      </c>
      <c r="B42" s="4" t="s">
        <v>60</v>
      </c>
      <c r="C42" s="4" t="s">
        <v>61</v>
      </c>
      <c r="D42" s="15" t="n">
        <f aca="false">IF($A42="","",IFERROR(INDEX('Saetze 2026'!$C$5:$F$7,MATCH($B42,'Saetze 2026'!$B$5:$B$7,0),MATCH($C42,'Saetze 2026'!$C$4:$F$4,0)),0))</f>
        <v>44</v>
      </c>
      <c r="E42" s="15" t="n">
        <f aca="false">IF($A42="","",IFERROR(INDEX('Saetze 2026'!$C$5:$C$7,MATCH($B42,'Saetze 2026'!$B$5:$B$7,0)),0)*(IF(LOWER($F42)="x",'Saetze 2026'!$B$10,0)+IF(LOWER($G42)="x",'Saetze 2026'!$B$11,0)+IF(LOWER($H42)="x",'Saetze 2026'!$B$12,0)))</f>
        <v>0</v>
      </c>
      <c r="F42" s="22"/>
      <c r="G42" s="22"/>
      <c r="H42" s="22"/>
      <c r="I42" s="15" t="n">
        <f aca="false">IF($A42="","",MAX(0,$D42-$E42))</f>
        <v>44</v>
      </c>
    </row>
    <row r="43" customFormat="false" ht="15" hidden="false" customHeight="false" outlineLevel="0" collapsed="false">
      <c r="A43" s="12"/>
      <c r="B43" s="4"/>
      <c r="C43" s="4"/>
      <c r="D43" s="15" t="str">
        <f aca="false">IF($A43="","",IFERROR(INDEX('Saetze 2026'!$C$5:$F$7,MATCH($B43,'Saetze 2026'!$B$5:$B$7,0),MATCH($C43,'Saetze 2026'!$C$4:$F$4,0)),0))</f>
        <v/>
      </c>
      <c r="E43" s="15" t="str">
        <f aca="false">IF($A43="","",IFERROR(INDEX('Saetze 2026'!$C$5:$C$7,MATCH($B43,'Saetze 2026'!$B$5:$B$7,0)),0)*(IF(LOWER($F43)="x",'Saetze 2026'!$B$10,0)+IF(LOWER($G43)="x",'Saetze 2026'!$B$11,0)+IF(LOWER($H43)="x",'Saetze 2026'!$B$12,0)))</f>
        <v/>
      </c>
      <c r="F43" s="22"/>
      <c r="G43" s="22"/>
      <c r="H43" s="22"/>
      <c r="I43" s="15" t="str">
        <f aca="false">IF($A43="","",MAX(0,$D43-$E43))</f>
        <v/>
      </c>
    </row>
    <row r="44" customFormat="false" ht="15" hidden="false" customHeight="false" outlineLevel="0" collapsed="false">
      <c r="A44" s="12"/>
      <c r="B44" s="4"/>
      <c r="C44" s="4"/>
      <c r="D44" s="15" t="str">
        <f aca="false">IF($A44="","",IFERROR(INDEX('Saetze 2026'!$C$5:$F$7,MATCH($B44,'Saetze 2026'!$B$5:$B$7,0),MATCH($C44,'Saetze 2026'!$C$4:$F$4,0)),0))</f>
        <v/>
      </c>
      <c r="E44" s="15" t="str">
        <f aca="false">IF($A44="","",IFERROR(INDEX('Saetze 2026'!$C$5:$C$7,MATCH($B44,'Saetze 2026'!$B$5:$B$7,0)),0)*(IF(LOWER($F44)="x",'Saetze 2026'!$B$10,0)+IF(LOWER($G44)="x",'Saetze 2026'!$B$11,0)+IF(LOWER($H44)="x",'Saetze 2026'!$B$12,0)))</f>
        <v/>
      </c>
      <c r="F44" s="22"/>
      <c r="G44" s="22"/>
      <c r="H44" s="22"/>
      <c r="I44" s="15" t="str">
        <f aca="false">IF($A44="","",MAX(0,$D44-$E44))</f>
        <v/>
      </c>
    </row>
    <row r="45" customFormat="false" ht="15" hidden="false" customHeight="false" outlineLevel="0" collapsed="false">
      <c r="A45" s="12"/>
      <c r="B45" s="4"/>
      <c r="C45" s="4"/>
      <c r="D45" s="15" t="str">
        <f aca="false">IF($A45="","",IFERROR(INDEX('Saetze 2026'!$C$5:$F$7,MATCH($B45,'Saetze 2026'!$B$5:$B$7,0),MATCH($C45,'Saetze 2026'!$C$4:$F$4,0)),0))</f>
        <v/>
      </c>
      <c r="E45" s="15" t="str">
        <f aca="false">IF($A45="","",IFERROR(INDEX('Saetze 2026'!$C$5:$C$7,MATCH($B45,'Saetze 2026'!$B$5:$B$7,0)),0)*(IF(LOWER($F45)="x",'Saetze 2026'!$B$10,0)+IF(LOWER($G45)="x",'Saetze 2026'!$B$11,0)+IF(LOWER($H45)="x",'Saetze 2026'!$B$12,0)))</f>
        <v/>
      </c>
      <c r="F45" s="22"/>
      <c r="G45" s="22"/>
      <c r="H45" s="22"/>
      <c r="I45" s="15" t="str">
        <f aca="false">IF($A45="","",MAX(0,$D45-$E45))</f>
        <v/>
      </c>
    </row>
    <row r="46" customFormat="false" ht="15" hidden="false" customHeight="false" outlineLevel="0" collapsed="false">
      <c r="A46" s="12"/>
      <c r="B46" s="4"/>
      <c r="C46" s="4"/>
      <c r="D46" s="15" t="str">
        <f aca="false">IF($A46="","",IFERROR(INDEX('Saetze 2026'!$C$5:$F$7,MATCH($B46,'Saetze 2026'!$B$5:$B$7,0),MATCH($C46,'Saetze 2026'!$C$4:$F$4,0)),0))</f>
        <v/>
      </c>
      <c r="E46" s="15" t="str">
        <f aca="false">IF($A46="","",IFERROR(INDEX('Saetze 2026'!$C$5:$C$7,MATCH($B46,'Saetze 2026'!$B$5:$B$7,0)),0)*(IF(LOWER($F46)="x",'Saetze 2026'!$B$10,0)+IF(LOWER($G46)="x",'Saetze 2026'!$B$11,0)+IF(LOWER($H46)="x",'Saetze 2026'!$B$12,0)))</f>
        <v/>
      </c>
      <c r="F46" s="22"/>
      <c r="G46" s="22"/>
      <c r="H46" s="22"/>
      <c r="I46" s="15" t="str">
        <f aca="false">IF($A46="","",MAX(0,$D46-$E46))</f>
        <v/>
      </c>
    </row>
    <row r="47" customFormat="false" ht="15" hidden="false" customHeight="false" outlineLevel="0" collapsed="false">
      <c r="A47" s="16"/>
      <c r="B47" s="17" t="s">
        <v>62</v>
      </c>
      <c r="C47" s="16"/>
      <c r="D47" s="16"/>
      <c r="E47" s="16"/>
      <c r="F47" s="16"/>
      <c r="G47" s="16"/>
      <c r="H47" s="16"/>
      <c r="I47" s="18" t="n">
        <f aca="false">SUM(I41:I46)</f>
        <v>88</v>
      </c>
    </row>
    <row r="49" customFormat="false" ht="19.5" hidden="false" customHeight="true" outlineLevel="0" collapsed="false">
      <c r="A49" s="6" t="s">
        <v>63</v>
      </c>
      <c r="B49" s="6"/>
      <c r="C49" s="6"/>
      <c r="D49" s="6"/>
      <c r="E49" s="6"/>
      <c r="F49" s="6"/>
      <c r="G49" s="6"/>
      <c r="H49" s="6"/>
      <c r="I49" s="6"/>
    </row>
    <row r="50" customFormat="false" ht="24" hidden="false" customHeight="true" outlineLevel="0" collapsed="false">
      <c r="A50" s="7" t="s">
        <v>29</v>
      </c>
      <c r="B50" s="7" t="s">
        <v>64</v>
      </c>
      <c r="C50" s="7" t="s">
        <v>65</v>
      </c>
      <c r="I50" s="7" t="s">
        <v>24</v>
      </c>
    </row>
    <row r="51" customFormat="false" ht="15" hidden="false" customHeight="false" outlineLevel="0" collapsed="false">
      <c r="A51" s="12" t="s">
        <v>34</v>
      </c>
      <c r="B51" s="4" t="s">
        <v>66</v>
      </c>
      <c r="C51" s="4" t="s">
        <v>67</v>
      </c>
      <c r="D51" s="19"/>
      <c r="E51" s="19"/>
      <c r="F51" s="19"/>
      <c r="G51" s="19"/>
      <c r="H51" s="19"/>
      <c r="I51" s="23"/>
    </row>
    <row r="52" customFormat="false" ht="15" hidden="false" customHeight="false" outlineLevel="0" collapsed="false">
      <c r="A52" s="12"/>
      <c r="B52" s="4"/>
      <c r="C52" s="4"/>
      <c r="D52" s="19"/>
      <c r="E52" s="19"/>
      <c r="F52" s="19"/>
      <c r="G52" s="19"/>
      <c r="H52" s="19"/>
      <c r="I52" s="20"/>
    </row>
    <row r="53" customFormat="false" ht="15" hidden="false" customHeight="false" outlineLevel="0" collapsed="false">
      <c r="A53" s="12"/>
      <c r="B53" s="4"/>
      <c r="C53" s="4"/>
      <c r="D53" s="19"/>
      <c r="E53" s="19"/>
      <c r="F53" s="19"/>
      <c r="G53" s="19"/>
      <c r="H53" s="19"/>
      <c r="I53" s="20"/>
    </row>
    <row r="54" customFormat="false" ht="15" hidden="false" customHeight="false" outlineLevel="0" collapsed="false">
      <c r="A54" s="16"/>
      <c r="B54" s="17" t="s">
        <v>68</v>
      </c>
      <c r="C54" s="16"/>
      <c r="D54" s="16"/>
      <c r="E54" s="16"/>
      <c r="F54" s="16"/>
      <c r="G54" s="16"/>
      <c r="H54" s="16"/>
      <c r="I54" s="18" t="n">
        <f aca="false">SUM(I51:I53)</f>
        <v>0</v>
      </c>
    </row>
    <row r="56" customFormat="false" ht="19.5" hidden="false" customHeight="true" outlineLevel="0" collapsed="false">
      <c r="A56" s="6" t="s">
        <v>69</v>
      </c>
      <c r="B56" s="6"/>
      <c r="C56" s="6"/>
      <c r="D56" s="6"/>
      <c r="E56" s="6"/>
      <c r="F56" s="6"/>
      <c r="G56" s="6"/>
      <c r="H56" s="6"/>
      <c r="I56" s="6"/>
    </row>
    <row r="57" customFormat="false" ht="24" hidden="false" customHeight="true" outlineLevel="0" collapsed="false">
      <c r="A57" s="7" t="s">
        <v>29</v>
      </c>
      <c r="B57" s="7" t="s">
        <v>39</v>
      </c>
      <c r="C57" s="7" t="s">
        <v>40</v>
      </c>
      <c r="I57" s="7" t="s">
        <v>24</v>
      </c>
    </row>
    <row r="58" customFormat="false" ht="15" hidden="false" customHeight="false" outlineLevel="0" collapsed="false">
      <c r="A58" s="12" t="s">
        <v>34</v>
      </c>
      <c r="B58" s="4" t="s">
        <v>70</v>
      </c>
      <c r="C58" s="4" t="s">
        <v>71</v>
      </c>
      <c r="D58" s="19"/>
      <c r="E58" s="19"/>
      <c r="F58" s="19"/>
      <c r="G58" s="19"/>
      <c r="H58" s="19"/>
      <c r="I58" s="20" t="n">
        <v>24.23</v>
      </c>
    </row>
    <row r="59" customFormat="false" ht="15" hidden="false" customHeight="false" outlineLevel="0" collapsed="false">
      <c r="A59" s="12"/>
      <c r="B59" s="4"/>
      <c r="C59" s="4"/>
      <c r="D59" s="19"/>
      <c r="E59" s="19"/>
      <c r="F59" s="19"/>
      <c r="G59" s="19"/>
      <c r="H59" s="19"/>
      <c r="I59" s="20"/>
    </row>
    <row r="60" customFormat="false" ht="15" hidden="false" customHeight="false" outlineLevel="0" collapsed="false">
      <c r="A60" s="12"/>
      <c r="B60" s="4"/>
      <c r="C60" s="4"/>
      <c r="D60" s="19"/>
      <c r="E60" s="19"/>
      <c r="F60" s="19"/>
      <c r="G60" s="19"/>
      <c r="H60" s="19"/>
      <c r="I60" s="20"/>
    </row>
    <row r="61" customFormat="false" ht="15" hidden="false" customHeight="false" outlineLevel="0" collapsed="false">
      <c r="A61" s="12"/>
      <c r="B61" s="4"/>
      <c r="C61" s="4"/>
      <c r="D61" s="19"/>
      <c r="E61" s="19"/>
      <c r="F61" s="19"/>
      <c r="G61" s="19"/>
      <c r="H61" s="19"/>
      <c r="I61" s="20"/>
    </row>
    <row r="62" customFormat="false" ht="15" hidden="false" customHeight="false" outlineLevel="0" collapsed="false">
      <c r="A62" s="16"/>
      <c r="B62" s="17" t="s">
        <v>72</v>
      </c>
      <c r="C62" s="16"/>
      <c r="D62" s="16"/>
      <c r="E62" s="16"/>
      <c r="F62" s="16"/>
      <c r="G62" s="16"/>
      <c r="H62" s="16"/>
      <c r="I62" s="18" t="n">
        <f aca="false">SUM(I58:I61)</f>
        <v>24.23</v>
      </c>
    </row>
    <row r="64" customFormat="false" ht="19.5" hidden="false" customHeight="true" outlineLevel="0" collapsed="false">
      <c r="A64" s="6" t="s">
        <v>73</v>
      </c>
      <c r="B64" s="6"/>
      <c r="C64" s="6"/>
      <c r="D64" s="6"/>
      <c r="E64" s="6"/>
      <c r="F64" s="6"/>
      <c r="G64" s="6"/>
      <c r="H64" s="6"/>
      <c r="I64" s="6"/>
    </row>
    <row r="65" customFormat="false" ht="15" hidden="false" customHeight="false" outlineLevel="0" collapsed="false">
      <c r="B65" s="3" t="s">
        <v>74</v>
      </c>
      <c r="I65" s="24" t="n">
        <f aca="false">I25+I37+I47+I54+I62</f>
        <v>267.98</v>
      </c>
    </row>
    <row r="66" customFormat="false" ht="15" hidden="false" customHeight="false" outlineLevel="0" collapsed="false">
      <c r="B66" s="25" t="s">
        <v>75</v>
      </c>
      <c r="I66" s="20"/>
    </row>
    <row r="67" customFormat="false" ht="15" hidden="false" customHeight="false" outlineLevel="0" collapsed="false">
      <c r="B67" s="25" t="s">
        <v>76</v>
      </c>
      <c r="I67" s="20"/>
    </row>
    <row r="68" customFormat="false" ht="21.75" hidden="false" customHeight="true" outlineLevel="0" collapsed="false">
      <c r="A68" s="26"/>
      <c r="B68" s="27" t="s">
        <v>77</v>
      </c>
      <c r="C68" s="26"/>
      <c r="D68" s="26"/>
      <c r="E68" s="26"/>
      <c r="F68" s="26"/>
      <c r="G68" s="26"/>
      <c r="H68" s="26"/>
      <c r="I68" s="28" t="n">
        <f aca="false">I65-N(I66)-N(I67)</f>
        <v>267.98</v>
      </c>
    </row>
    <row r="71" customFormat="false" ht="15" hidden="false" customHeight="false" outlineLevel="0" collapsed="false">
      <c r="A71" s="25" t="s">
        <v>78</v>
      </c>
      <c r="E71" s="25" t="s">
        <v>78</v>
      </c>
    </row>
    <row r="72" customFormat="false" ht="15" hidden="false" customHeight="false" outlineLevel="0" collapsed="false">
      <c r="A72" s="5" t="s">
        <v>79</v>
      </c>
      <c r="E72" s="5" t="s">
        <v>80</v>
      </c>
    </row>
    <row r="75" customFormat="false" ht="19.5" hidden="false" customHeight="true" outlineLevel="0" collapsed="false">
      <c r="A75" s="6" t="s">
        <v>81</v>
      </c>
      <c r="B75" s="6"/>
      <c r="C75" s="6"/>
      <c r="D75" s="6"/>
      <c r="E75" s="6"/>
      <c r="F75" s="6"/>
      <c r="G75" s="6"/>
      <c r="H75" s="6"/>
      <c r="I75" s="6"/>
    </row>
    <row r="76" customFormat="false" ht="42" hidden="false" customHeight="true" outlineLevel="0" collapsed="false">
      <c r="A76" s="29" t="s">
        <v>82</v>
      </c>
      <c r="B76" s="30" t="s">
        <v>11</v>
      </c>
      <c r="C76" s="31" t="s">
        <v>83</v>
      </c>
      <c r="D76" s="31"/>
      <c r="E76" s="31"/>
      <c r="F76" s="31"/>
      <c r="G76" s="31"/>
      <c r="H76" s="31"/>
      <c r="I76" s="31"/>
    </row>
    <row r="77" customFormat="false" ht="42" hidden="false" customHeight="true" outlineLevel="0" collapsed="false">
      <c r="A77" s="32" t="s">
        <v>84</v>
      </c>
      <c r="B77" s="33" t="s">
        <v>85</v>
      </c>
      <c r="C77" s="34" t="s">
        <v>86</v>
      </c>
      <c r="D77" s="34"/>
      <c r="E77" s="34"/>
      <c r="F77" s="34"/>
      <c r="G77" s="34"/>
      <c r="H77" s="34"/>
      <c r="I77" s="34"/>
    </row>
    <row r="78" customFormat="false" ht="42" hidden="false" customHeight="true" outlineLevel="0" collapsed="false">
      <c r="A78" s="29" t="s">
        <v>82</v>
      </c>
      <c r="B78" s="30" t="s">
        <v>87</v>
      </c>
      <c r="C78" s="31" t="s">
        <v>88</v>
      </c>
      <c r="D78" s="31"/>
      <c r="E78" s="31"/>
      <c r="F78" s="31"/>
      <c r="G78" s="31"/>
      <c r="H78" s="31"/>
      <c r="I78" s="31"/>
    </row>
    <row r="79" customFormat="false" ht="42" hidden="false" customHeight="true" outlineLevel="0" collapsed="false">
      <c r="A79" s="29" t="s">
        <v>82</v>
      </c>
      <c r="B79" s="30" t="s">
        <v>89</v>
      </c>
      <c r="C79" s="31" t="s">
        <v>90</v>
      </c>
      <c r="D79" s="31"/>
      <c r="E79" s="31"/>
      <c r="F79" s="31"/>
      <c r="G79" s="31"/>
      <c r="H79" s="31"/>
      <c r="I79" s="31"/>
    </row>
    <row r="80" customFormat="false" ht="27.75" hidden="false" customHeight="true" outlineLevel="0" collapsed="false">
      <c r="A80" s="29" t="s">
        <v>82</v>
      </c>
      <c r="B80" s="30" t="s">
        <v>91</v>
      </c>
      <c r="C80" s="31" t="s">
        <v>92</v>
      </c>
      <c r="D80" s="31"/>
      <c r="E80" s="31"/>
      <c r="F80" s="31"/>
      <c r="G80" s="31"/>
      <c r="H80" s="31"/>
      <c r="I80" s="31"/>
    </row>
    <row r="81" customFormat="false" ht="27.75" hidden="false" customHeight="true" outlineLevel="0" collapsed="false">
      <c r="A81" s="29" t="s">
        <v>82</v>
      </c>
      <c r="B81" s="30" t="s">
        <v>93</v>
      </c>
      <c r="C81" s="31" t="s">
        <v>94</v>
      </c>
      <c r="D81" s="31"/>
      <c r="E81" s="31"/>
      <c r="F81" s="31"/>
      <c r="G81" s="31"/>
      <c r="H81" s="31"/>
      <c r="I81" s="31"/>
    </row>
    <row r="82" customFormat="false" ht="42" hidden="false" customHeight="true" outlineLevel="0" collapsed="false">
      <c r="A82" s="32" t="s">
        <v>84</v>
      </c>
      <c r="B82" s="33" t="s">
        <v>95</v>
      </c>
      <c r="C82" s="34" t="s">
        <v>96</v>
      </c>
      <c r="D82" s="34"/>
      <c r="E82" s="34"/>
      <c r="F82" s="34"/>
      <c r="G82" s="34"/>
      <c r="H82" s="34"/>
      <c r="I82" s="34"/>
    </row>
    <row r="83" customFormat="false" ht="42" hidden="false" customHeight="true" outlineLevel="0" collapsed="false">
      <c r="A83" s="32" t="s">
        <v>84</v>
      </c>
      <c r="B83" s="33" t="s">
        <v>97</v>
      </c>
      <c r="C83" s="34" t="s">
        <v>98</v>
      </c>
      <c r="D83" s="34"/>
      <c r="E83" s="34"/>
      <c r="F83" s="34"/>
      <c r="G83" s="34"/>
      <c r="H83" s="34"/>
      <c r="I83" s="34"/>
    </row>
    <row r="84" customFormat="false" ht="42" hidden="false" customHeight="true" outlineLevel="0" collapsed="false">
      <c r="A84" s="32" t="s">
        <v>84</v>
      </c>
      <c r="B84" s="33" t="s">
        <v>99</v>
      </c>
      <c r="C84" s="34" t="s">
        <v>100</v>
      </c>
      <c r="D84" s="34"/>
      <c r="E84" s="34"/>
      <c r="F84" s="34"/>
      <c r="G84" s="34"/>
      <c r="H84" s="34"/>
      <c r="I84" s="34"/>
    </row>
    <row r="85" customFormat="false" ht="42" hidden="false" customHeight="true" outlineLevel="0" collapsed="false">
      <c r="A85" s="32" t="s">
        <v>84</v>
      </c>
      <c r="B85" s="33" t="s">
        <v>101</v>
      </c>
      <c r="C85" s="34" t="s">
        <v>102</v>
      </c>
      <c r="D85" s="34"/>
      <c r="E85" s="34"/>
      <c r="F85" s="34"/>
      <c r="G85" s="34"/>
      <c r="H85" s="34"/>
      <c r="I85" s="34"/>
    </row>
  </sheetData>
  <mergeCells count="50">
    <mergeCell ref="A1:I1"/>
    <mergeCell ref="A2:I2"/>
    <mergeCell ref="B4:E4"/>
    <mergeCell ref="B5:E5"/>
    <mergeCell ref="B6:E6"/>
    <mergeCell ref="G6:I6"/>
    <mergeCell ref="B7:E7"/>
    <mergeCell ref="G7:I7"/>
    <mergeCell ref="B8:E8"/>
    <mergeCell ref="B9:E9"/>
    <mergeCell ref="B10:E10"/>
    <mergeCell ref="B11:E11"/>
    <mergeCell ref="A13:I13"/>
    <mergeCell ref="C15:H15"/>
    <mergeCell ref="A19:I19"/>
    <mergeCell ref="E21:H21"/>
    <mergeCell ref="E22:H22"/>
    <mergeCell ref="E23:H23"/>
    <mergeCell ref="E24:H24"/>
    <mergeCell ref="A27:I27"/>
    <mergeCell ref="D29:H29"/>
    <mergeCell ref="D30:H30"/>
    <mergeCell ref="D31:H31"/>
    <mergeCell ref="D32:H32"/>
    <mergeCell ref="D33:H33"/>
    <mergeCell ref="D34:H34"/>
    <mergeCell ref="D35:H35"/>
    <mergeCell ref="D36:H36"/>
    <mergeCell ref="A39:I39"/>
    <mergeCell ref="A49:I49"/>
    <mergeCell ref="D51:H51"/>
    <mergeCell ref="D52:H52"/>
    <mergeCell ref="D53:H53"/>
    <mergeCell ref="A56:I56"/>
    <mergeCell ref="D58:H58"/>
    <mergeCell ref="D59:H59"/>
    <mergeCell ref="D60:H60"/>
    <mergeCell ref="D61:H61"/>
    <mergeCell ref="A64:I64"/>
    <mergeCell ref="A75:I75"/>
    <mergeCell ref="C76:I76"/>
    <mergeCell ref="C77:I77"/>
    <mergeCell ref="C78:I78"/>
    <mergeCell ref="C79:I79"/>
    <mergeCell ref="C80:I80"/>
    <mergeCell ref="C81:I81"/>
    <mergeCell ref="C82:I82"/>
    <mergeCell ref="C83:I83"/>
    <mergeCell ref="C84:I84"/>
    <mergeCell ref="C85:I85"/>
  </mergeCells>
  <dataValidations count="4">
    <dataValidation allowBlank="true" errorStyle="stop" operator="between" showDropDown="false" showErrorMessage="false" showInputMessage="false" sqref="C21:C24" type="list">
      <formula1>'Saetze 2026'!$A$15:$A$17</formula1>
      <formula2>0</formula2>
    </dataValidation>
    <dataValidation allowBlank="true" errorStyle="stop" operator="between" showDropDown="false" showErrorMessage="false" showInputMessage="false" sqref="B41:B46" type="list">
      <formula1>'Saetze 2026'!$B$5:$B$7</formula1>
      <formula2>0</formula2>
    </dataValidation>
    <dataValidation allowBlank="true" errorStyle="stop" operator="between" showDropDown="false" showErrorMessage="false" showInputMessage="false" sqref="C41:C46" type="list">
      <formula1>'Saetze 2026'!$C$4:$F$4</formula1>
      <formula2>0</formula2>
    </dataValidation>
    <dataValidation allowBlank="true" errorStyle="stop" operator="between" showDropDown="false" showErrorMessage="false" showInputMessage="false" sqref="F41:H46" type="list">
      <formula1>"x"</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7"/>
    <col collapsed="false" customWidth="true" hidden="false" outlineLevel="0" max="4" min="3" style="0" width="15"/>
    <col collapsed="false" customWidth="true" hidden="false" outlineLevel="0" max="6" min="5" style="0" width="12"/>
    <col collapsed="false" customWidth="true" hidden="false" outlineLevel="0" max="7" min="7" style="0" width="15"/>
  </cols>
  <sheetData>
    <row r="1" customFormat="false" ht="19.7" hidden="false" customHeight="false" outlineLevel="0" collapsed="false">
      <c r="A1" s="35" t="s">
        <v>103</v>
      </c>
    </row>
    <row r="2" customFormat="false" ht="15" hidden="false" customHeight="false" outlineLevel="0" collapsed="false">
      <c r="A2" s="5" t="s">
        <v>104</v>
      </c>
    </row>
    <row r="4" customFormat="false" ht="27.75" hidden="false" customHeight="true" outlineLevel="0" collapsed="false">
      <c r="A4" s="7" t="s">
        <v>53</v>
      </c>
      <c r="B4" s="7" t="s">
        <v>105</v>
      </c>
      <c r="C4" s="7" t="s">
        <v>106</v>
      </c>
      <c r="D4" s="7" t="s">
        <v>61</v>
      </c>
      <c r="E4" s="7" t="s">
        <v>107</v>
      </c>
      <c r="F4" s="7" t="s">
        <v>108</v>
      </c>
      <c r="G4" s="7" t="s">
        <v>109</v>
      </c>
    </row>
    <row r="5" customFormat="false" ht="15" hidden="false" customHeight="false" outlineLevel="0" collapsed="false">
      <c r="A5" s="25" t="s">
        <v>110</v>
      </c>
      <c r="B5" s="25" t="s">
        <v>111</v>
      </c>
      <c r="C5" s="36" t="n">
        <v>28</v>
      </c>
      <c r="D5" s="36" t="n">
        <v>14</v>
      </c>
      <c r="E5" s="36" t="n">
        <v>14</v>
      </c>
      <c r="F5" s="36" t="n">
        <v>0</v>
      </c>
      <c r="G5" s="36" t="s">
        <v>84</v>
      </c>
    </row>
    <row r="6" customFormat="false" ht="15" hidden="false" customHeight="false" outlineLevel="0" collapsed="false">
      <c r="A6" s="25" t="s">
        <v>60</v>
      </c>
      <c r="B6" s="25" t="s">
        <v>60</v>
      </c>
      <c r="C6" s="36" t="n">
        <v>66</v>
      </c>
      <c r="D6" s="36" t="n">
        <v>44</v>
      </c>
      <c r="E6" s="36" t="n">
        <v>44</v>
      </c>
      <c r="F6" s="36" t="n">
        <v>0</v>
      </c>
      <c r="G6" s="36" t="n">
        <v>163</v>
      </c>
    </row>
    <row r="7" customFormat="false" ht="15" hidden="false" customHeight="false" outlineLevel="0" collapsed="false">
      <c r="A7" s="25" t="s">
        <v>112</v>
      </c>
      <c r="B7" s="25" t="s">
        <v>113</v>
      </c>
      <c r="C7" s="36" t="n">
        <v>52</v>
      </c>
      <c r="D7" s="36" t="n">
        <v>35</v>
      </c>
      <c r="E7" s="36" t="n">
        <v>35</v>
      </c>
      <c r="F7" s="36" t="n">
        <v>0</v>
      </c>
      <c r="G7" s="36" t="n">
        <v>99</v>
      </c>
    </row>
    <row r="9" customFormat="false" ht="15" hidden="false" customHeight="false" outlineLevel="0" collapsed="false">
      <c r="A9" s="3" t="s">
        <v>114</v>
      </c>
    </row>
    <row r="10" customFormat="false" ht="15" hidden="false" customHeight="false" outlineLevel="0" collapsed="false">
      <c r="A10" s="25" t="s">
        <v>115</v>
      </c>
      <c r="B10" s="37" t="n">
        <v>0.2</v>
      </c>
    </row>
    <row r="11" customFormat="false" ht="15" hidden="false" customHeight="false" outlineLevel="0" collapsed="false">
      <c r="A11" s="25" t="s">
        <v>116</v>
      </c>
      <c r="B11" s="37" t="n">
        <v>0.4</v>
      </c>
    </row>
    <row r="12" customFormat="false" ht="15" hidden="false" customHeight="false" outlineLevel="0" collapsed="false">
      <c r="A12" s="25" t="s">
        <v>117</v>
      </c>
      <c r="B12" s="37" t="n">
        <v>0.4</v>
      </c>
    </row>
    <row r="14" customFormat="false" ht="15" hidden="false" customHeight="false" outlineLevel="0" collapsed="false">
      <c r="A14" s="3" t="s">
        <v>118</v>
      </c>
    </row>
    <row r="15" customFormat="false" ht="15" hidden="false" customHeight="false" outlineLevel="0" collapsed="false">
      <c r="A15" s="25" t="s">
        <v>36</v>
      </c>
      <c r="C15" s="38" t="n">
        <v>0.3</v>
      </c>
    </row>
    <row r="16" customFormat="false" ht="15" hidden="false" customHeight="false" outlineLevel="0" collapsed="false">
      <c r="A16" s="25" t="s">
        <v>119</v>
      </c>
      <c r="C16" s="38" t="n">
        <v>0.2</v>
      </c>
    </row>
    <row r="17" customFormat="false" ht="15" hidden="false" customHeight="false" outlineLevel="0" collapsed="false">
      <c r="A17" s="25" t="s">
        <v>120</v>
      </c>
      <c r="C17" s="38" t="n">
        <v>0.05</v>
      </c>
    </row>
    <row r="20" customFormat="false" ht="15" hidden="false" customHeight="false" outlineLevel="0" collapsed="false">
      <c r="A20" s="3" t="s">
        <v>121</v>
      </c>
    </row>
    <row r="21" customFormat="false" ht="15" hidden="false" customHeight="false" outlineLevel="0" collapsed="false">
      <c r="A21" s="5" t="s">
        <v>122</v>
      </c>
    </row>
    <row r="22" customFormat="false" ht="15" hidden="false" customHeight="false" outlineLevel="0" collapsed="false">
      <c r="A22" s="5" t="s">
        <v>123</v>
      </c>
    </row>
    <row r="23" customFormat="false" ht="15" hidden="false" customHeight="false" outlineLevel="0" collapsed="false">
      <c r="A23" s="5" t="s">
        <v>124</v>
      </c>
    </row>
    <row r="24" customFormat="false" ht="15" hidden="false" customHeight="false" outlineLevel="0" collapsed="false">
      <c r="A24" s="5" t="s">
        <v>125</v>
      </c>
    </row>
    <row r="25" customFormat="false" ht="15" hidden="false" customHeight="false" outlineLevel="0" collapsed="false">
      <c r="A25" s="5" t="s">
        <v>126</v>
      </c>
    </row>
    <row r="26" customFormat="false" ht="15" hidden="false" customHeight="false" outlineLevel="0" collapsed="false">
      <c r="A26" s="5" t="s">
        <v>127</v>
      </c>
    </row>
    <row r="27" customFormat="false" ht="15" hidden="false" customHeight="false" outlineLevel="0" collapsed="false">
      <c r="A27" s="5"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2026-10-21T16:24:59Z</dcterms:created>
  <dc:creator>openpyxl</dc:creator>
  <dc:description/>
  <dc:language>en-US</dc:language>
  <cp:lastModifiedBy/>
  <dcterms:modified xsi:type="dcterms:W3CDTF">2026-10-21T16:24:59Z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