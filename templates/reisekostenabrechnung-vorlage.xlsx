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  <sheet xmlns:r="http://schemas.openxmlformats.org/officeDocument/2006/relationships" name="Saetze 2026" sheetId="2" state="visible" r:id="rId2"/>
  </sheets>
  <definedNames>
    <definedName name="_xlnm.Print_Area" localSheetId="0">'Abrechnung'!$A$1:$I$78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 &quot;€&quot;"/>
    <numFmt numFmtId="165" formatCode="0 %"/>
    <numFmt numFmtId="166" formatCode="TT.MM.JJJJ"/>
    <numFmt numFmtId="167" formatCode="#,##0.00 &quot;€&quot;;-#,##0.00 &quot;€&quot;;-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95959"/>
      <sz val="8"/>
    </font>
    <font>
      <name val="Arial"/>
      <b val="1"/>
      <sz val="9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99"/>
      </patternFill>
    </fill>
    <fill>
      <patternFill patternType="solid">
        <fgColor rgb="002F4F4F"/>
      </patternFill>
    </fill>
    <fill>
      <patternFill patternType="solid">
        <fgColor rgb="00F2F2F2"/>
      </patternFill>
    </fill>
    <fill>
      <patternFill patternType="solid">
        <fgColor rgb="00D9E1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0" fillId="3" borderId="1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166" fontId="5" fillId="3" borderId="1" pivotButton="0" quotePrefix="0" xfId="0"/>
    <xf numFmtId="3" fontId="5" fillId="3" borderId="1" pivotButton="0" quotePrefix="0" xfId="0"/>
    <xf numFmtId="164" fontId="4" fillId="0" borderId="1" applyAlignment="1" pivotButton="0" quotePrefix="0" xfId="0">
      <alignment horizontal="left"/>
    </xf>
    <xf numFmtId="0" fontId="0" fillId="0" borderId="1" pivotButton="0" quotePrefix="0" xfId="0"/>
    <xf numFmtId="167" fontId="4" fillId="0" borderId="1" pivotButton="0" quotePrefix="0" xfId="0"/>
    <xf numFmtId="0" fontId="0" fillId="5" borderId="1" pivotButton="0" quotePrefix="0" xfId="0"/>
    <xf numFmtId="0" fontId="6" fillId="5" borderId="1" pivotButton="0" quotePrefix="0" xfId="0"/>
    <xf numFmtId="167" fontId="6" fillId="5" borderId="1" pivotButton="0" quotePrefix="0" xfId="0"/>
    <xf numFmtId="167" fontId="5" fillId="3" borderId="1" pivotButton="0" quotePrefix="0" xfId="0"/>
    <xf numFmtId="0" fontId="5" fillId="3" borderId="1" applyAlignment="1" pivotButton="0" quotePrefix="0" xfId="0">
      <alignment horizontal="center"/>
    </xf>
    <xf numFmtId="167" fontId="6" fillId="0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8" fillId="6" borderId="1" pivotButton="0" quotePrefix="0" xfId="0"/>
    <xf numFmtId="167" fontId="8" fillId="6" borderId="1" pivotButton="0" quotePrefix="0" xfId="0"/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5" fillId="0" borderId="1" applyAlignment="1" pivotButton="0" quotePrefix="0" xfId="0">
      <alignment horizontal="center"/>
    </xf>
    <xf numFmtId="165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Vorlage</author>
  </authors>
  <commentList>
    <comment ref="F34" authorId="0" shapeId="0">
      <text>
        <t>Gestellte Mahlzeit mit „x“ markieren:
F = Frühstück, M = Mittagessen, A = Abendessen.
Dazu zählt auch das im Hotelpreis enthaltene Frühstück.</t>
      </text>
    </comment>
  </commentList>
</comments>
</file>

<file path=xl/comments/comment2.xml><?xml version="1.0" encoding="utf-8"?>
<comments xmlns="http://schemas.openxmlformats.org/spreadsheetml/2006/main">
  <authors>
    <author>Vorlage</author>
  </authors>
  <commentList>
    <comment ref="A9" authorId="0" shapeId="0">
      <text>
        <t>Die Kürzung bemisst sich immer am vollen Tagessatz, auch an An- und Abreisetagen. Sie kann die Pauschale höchstens auf 0 € drücken.
Für London: Frühstück 13,20 €, Mittag- und Abendessen je 26,40 €.</t>
      </text>
    </comment>
    <comment ref="A15" authorId="0" shapeId="0">
      <text>
        <t>Nicht mit der Entfernungspauschale verwechseln: die ist ab 01.01.2026 einheitlich 0,38 €/km, gilt aber nur für den Weg Wohnung–erste Tätigkeitsstätte, nicht für Dienstreisen. Für Dienstreisen bleibt es bei 0,30 €/km.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2" customWidth="1" min="4" max="4"/>
    <col width="10" customWidth="1" min="5" max="5"/>
    <col width="5" customWidth="1" min="6" max="6"/>
    <col width="5" customWidth="1" min="7" max="7"/>
    <col width="5" customWidth="1" min="8" max="8"/>
    <col width="13" customWidth="1" min="9" max="9"/>
  </cols>
  <sheetData>
    <row r="1">
      <c r="A1" s="1" t="inlineStr">
        <is>
          <t>Reisekostenabrechnung</t>
        </is>
      </c>
    </row>
    <row r="2">
      <c r="A2" s="2" t="inlineStr">
        <is>
          <t>Inland und Ausland · Stand 2026 · Sätze siehe Blatt „Saetze 2026“</t>
        </is>
      </c>
    </row>
    <row r="4">
      <c r="A4" s="3" t="inlineStr">
        <is>
          <t>Rechnung an</t>
        </is>
      </c>
      <c r="B4" s="4" t="inlineStr"/>
      <c r="C4" s="5" t="n"/>
      <c r="D4" s="5" t="n"/>
      <c r="E4" s="5" t="n"/>
      <c r="G4" s="2" t="inlineStr">
        <is>
          <t>Gelb = ausfüllen</t>
        </is>
      </c>
    </row>
    <row r="5">
      <c r="A5" s="3" t="inlineStr">
        <is>
          <t>Von</t>
        </is>
      </c>
      <c r="B5" s="4" t="inlineStr"/>
      <c r="C5" s="5" t="n"/>
      <c r="D5" s="5" t="n"/>
      <c r="E5" s="5" t="n"/>
      <c r="G5" s="2" t="inlineStr">
        <is>
          <t>Weiß = rechnet sich</t>
        </is>
      </c>
    </row>
    <row r="6">
      <c r="A6" s="3" t="inlineStr">
        <is>
          <t>Funktion</t>
        </is>
      </c>
      <c r="B6" s="4" t="inlineStr"/>
      <c r="C6" s="5" t="n"/>
      <c r="D6" s="5" t="n"/>
      <c r="E6" s="5" t="n"/>
    </row>
    <row r="7">
      <c r="A7" s="3" t="inlineStr">
        <is>
          <t>Rechnungsnummer</t>
        </is>
      </c>
      <c r="B7" s="4" t="inlineStr"/>
      <c r="C7" s="5" t="n"/>
      <c r="D7" s="5" t="n"/>
      <c r="E7" s="5" t="n"/>
    </row>
    <row r="8">
      <c r="A8" s="3" t="inlineStr">
        <is>
          <t>Reisezweck</t>
        </is>
      </c>
      <c r="B8" s="4" t="inlineStr"/>
      <c r="C8" s="5" t="n"/>
      <c r="D8" s="5" t="n"/>
      <c r="E8" s="5" t="n"/>
    </row>
    <row r="9">
      <c r="A9" s="3" t="inlineStr">
        <is>
          <t>Reiseziel</t>
        </is>
      </c>
      <c r="B9" s="4" t="inlineStr"/>
      <c r="C9" s="5" t="n"/>
      <c r="D9" s="5" t="n"/>
      <c r="E9" s="5" t="n"/>
    </row>
    <row r="10">
      <c r="A10" s="3" t="inlineStr">
        <is>
          <t>Reise von (Datum, Uhrzeit)</t>
        </is>
      </c>
      <c r="B10" s="4" t="inlineStr"/>
      <c r="C10" s="5" t="n"/>
      <c r="D10" s="5" t="n"/>
      <c r="E10" s="5" t="n"/>
    </row>
    <row r="11">
      <c r="A11" s="3" t="inlineStr">
        <is>
          <t>Reise bis (Datum, Uhrzeit)</t>
        </is>
      </c>
      <c r="B11" s="4" t="inlineStr"/>
      <c r="C11" s="5" t="n"/>
      <c r="D11" s="5" t="n"/>
      <c r="E11" s="5" t="n"/>
    </row>
    <row r="12">
      <c r="A12" s="3" t="inlineStr">
        <is>
          <t>Abrechnung erstellt am</t>
        </is>
      </c>
      <c r="B12" s="4" t="inlineStr"/>
      <c r="C12" s="5" t="n"/>
      <c r="D12" s="5" t="n"/>
      <c r="E12" s="5" t="n"/>
    </row>
    <row r="13" ht="20" customHeight="1">
      <c r="A13" s="6" t="inlineStr">
        <is>
          <t>A · Fahrt mit eigenem Fahrzeug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24" customHeight="1">
      <c r="A14" s="8" t="inlineStr">
        <is>
          <t>Datum</t>
        </is>
      </c>
      <c r="B14" s="8" t="inlineStr">
        <is>
          <t>Strecke</t>
        </is>
      </c>
      <c r="C14" s="8" t="inlineStr">
        <is>
          <t>Fahrzeug</t>
        </is>
      </c>
      <c r="D14" s="8" t="inlineStr">
        <is>
          <t>Kilometer</t>
        </is>
      </c>
      <c r="E14" s="8" t="inlineStr">
        <is>
          <t>€/km</t>
        </is>
      </c>
      <c r="I14" s="8" t="inlineStr">
        <is>
          <t>Betrag</t>
        </is>
      </c>
    </row>
    <row r="15">
      <c r="A15" s="9" t="n"/>
      <c r="B15" s="4" t="n"/>
      <c r="C15" s="4" t="n"/>
      <c r="D15" s="10" t="n"/>
      <c r="E15" s="11">
        <f>IF($D15="","",IFERROR(INDEX('Saetze 2026'!$C$15:$C$17,MATCH($C15,'Saetze 2026'!$A$15:$A$17,0)),'Saetze 2026'!$C$15))</f>
        <v/>
      </c>
      <c r="F15" s="12" t="n"/>
      <c r="G15" s="12" t="n"/>
      <c r="H15" s="12" t="n"/>
      <c r="I15" s="13">
        <f>IF($D15="","",$D15*$E15)</f>
        <v/>
      </c>
    </row>
    <row r="16">
      <c r="A16" s="9" t="n"/>
      <c r="B16" s="4" t="n"/>
      <c r="C16" s="4" t="n"/>
      <c r="D16" s="10" t="n"/>
      <c r="E16" s="11">
        <f>IF($D16="","",IFERROR(INDEX('Saetze 2026'!$C$15:$C$17,MATCH($C16,'Saetze 2026'!$A$15:$A$17,0)),'Saetze 2026'!$C$15))</f>
        <v/>
      </c>
      <c r="F16" s="12" t="n"/>
      <c r="G16" s="12" t="n"/>
      <c r="H16" s="12" t="n"/>
      <c r="I16" s="13">
        <f>IF($D16="","",$D16*$E16)</f>
        <v/>
      </c>
    </row>
    <row r="17">
      <c r="A17" s="9" t="n"/>
      <c r="B17" s="4" t="n"/>
      <c r="C17" s="4" t="n"/>
      <c r="D17" s="10" t="n"/>
      <c r="E17" s="11">
        <f>IF($D17="","",IFERROR(INDEX('Saetze 2026'!$C$15:$C$17,MATCH($C17,'Saetze 2026'!$A$15:$A$17,0)),'Saetze 2026'!$C$15))</f>
        <v/>
      </c>
      <c r="F17" s="12" t="n"/>
      <c r="G17" s="12" t="n"/>
      <c r="H17" s="12" t="n"/>
      <c r="I17" s="13">
        <f>IF($D17="","",$D17*$E17)</f>
        <v/>
      </c>
    </row>
    <row r="18">
      <c r="A18" s="9" t="n"/>
      <c r="B18" s="4" t="n"/>
      <c r="C18" s="4" t="n"/>
      <c r="D18" s="10" t="n"/>
      <c r="E18" s="11">
        <f>IF($D18="","",IFERROR(INDEX('Saetze 2026'!$C$15:$C$17,MATCH($C18,'Saetze 2026'!$A$15:$A$17,0)),'Saetze 2026'!$C$15))</f>
        <v/>
      </c>
      <c r="F18" s="12" t="n"/>
      <c r="G18" s="12" t="n"/>
      <c r="H18" s="12" t="n"/>
      <c r="I18" s="13">
        <f>IF($D18="","",$D18*$E18)</f>
        <v/>
      </c>
    </row>
    <row r="19">
      <c r="A19" s="14" t="n"/>
      <c r="B19" s="15" t="inlineStr">
        <is>
          <t>Summe Fahrt eigenes Fahrzeug</t>
        </is>
      </c>
      <c r="C19" s="14" t="n"/>
      <c r="D19" s="14" t="n"/>
      <c r="E19" s="14" t="n"/>
      <c r="F19" s="14" t="n"/>
      <c r="G19" s="14" t="n"/>
      <c r="H19" s="14" t="n"/>
      <c r="I19" s="16">
        <f>SUM(I15:I18)</f>
        <v/>
      </c>
    </row>
    <row r="21" ht="20" customHeight="1">
      <c r="A21" s="6" t="inlineStr">
        <is>
          <t>B · Fahrtkosten und Transport mit Beleg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8" t="inlineStr">
        <is>
          <t>Datum</t>
        </is>
      </c>
      <c r="B22" s="8" t="inlineStr">
        <is>
          <t>Art</t>
        </is>
      </c>
      <c r="C22" s="8" t="inlineStr">
        <is>
          <t>Beschreibung</t>
        </is>
      </c>
      <c r="I22" s="8" t="inlineStr">
        <is>
          <t>Betrag</t>
        </is>
      </c>
    </row>
    <row r="23">
      <c r="A23" s="9" t="n"/>
      <c r="B23" s="4" t="n"/>
      <c r="C23" s="4" t="n"/>
      <c r="D23" s="12" t="n"/>
      <c r="E23" s="12" t="n"/>
      <c r="F23" s="12" t="n"/>
      <c r="G23" s="12" t="n"/>
      <c r="H23" s="12" t="n"/>
      <c r="I23" s="17" t="n"/>
    </row>
    <row r="24">
      <c r="A24" s="9" t="n"/>
      <c r="B24" s="4" t="n"/>
      <c r="C24" s="4" t="n"/>
      <c r="D24" s="12" t="n"/>
      <c r="E24" s="12" t="n"/>
      <c r="F24" s="12" t="n"/>
      <c r="G24" s="12" t="n"/>
      <c r="H24" s="12" t="n"/>
      <c r="I24" s="17" t="n"/>
    </row>
    <row r="25">
      <c r="A25" s="9" t="n"/>
      <c r="B25" s="4" t="n"/>
      <c r="C25" s="4" t="n"/>
      <c r="D25" s="12" t="n"/>
      <c r="E25" s="12" t="n"/>
      <c r="F25" s="12" t="n"/>
      <c r="G25" s="12" t="n"/>
      <c r="H25" s="12" t="n"/>
      <c r="I25" s="17" t="n"/>
    </row>
    <row r="26">
      <c r="A26" s="9" t="n"/>
      <c r="B26" s="4" t="n"/>
      <c r="C26" s="4" t="n"/>
      <c r="D26" s="12" t="n"/>
      <c r="E26" s="12" t="n"/>
      <c r="F26" s="12" t="n"/>
      <c r="G26" s="12" t="n"/>
      <c r="H26" s="12" t="n"/>
      <c r="I26" s="17" t="n"/>
    </row>
    <row r="27">
      <c r="A27" s="9" t="n"/>
      <c r="B27" s="4" t="n"/>
      <c r="C27" s="4" t="n"/>
      <c r="D27" s="12" t="n"/>
      <c r="E27" s="12" t="n"/>
      <c r="F27" s="12" t="n"/>
      <c r="G27" s="12" t="n"/>
      <c r="H27" s="12" t="n"/>
      <c r="I27" s="17" t="n"/>
    </row>
    <row r="28">
      <c r="A28" s="9" t="n"/>
      <c r="B28" s="4" t="n"/>
      <c r="C28" s="4" t="n"/>
      <c r="D28" s="12" t="n"/>
      <c r="E28" s="12" t="n"/>
      <c r="F28" s="12" t="n"/>
      <c r="G28" s="12" t="n"/>
      <c r="H28" s="12" t="n"/>
      <c r="I28" s="17" t="n"/>
    </row>
    <row r="29">
      <c r="A29" s="9" t="n"/>
      <c r="B29" s="4" t="n"/>
      <c r="C29" s="4" t="n"/>
      <c r="D29" s="12" t="n"/>
      <c r="E29" s="12" t="n"/>
      <c r="F29" s="12" t="n"/>
      <c r="G29" s="12" t="n"/>
      <c r="H29" s="12" t="n"/>
      <c r="I29" s="17" t="n"/>
    </row>
    <row r="30">
      <c r="A30" s="9" t="n"/>
      <c r="B30" s="4" t="n"/>
      <c r="C30" s="4" t="n"/>
      <c r="D30" s="12" t="n"/>
      <c r="E30" s="12" t="n"/>
      <c r="F30" s="12" t="n"/>
      <c r="G30" s="12" t="n"/>
      <c r="H30" s="12" t="n"/>
      <c r="I30" s="17" t="n"/>
    </row>
    <row r="31">
      <c r="A31" s="14" t="n"/>
      <c r="B31" s="15" t="inlineStr">
        <is>
          <t>Summe Fahrtkosten mit Beleg</t>
        </is>
      </c>
      <c r="C31" s="14" t="n"/>
      <c r="D31" s="14" t="n"/>
      <c r="E31" s="14" t="n"/>
      <c r="F31" s="14" t="n"/>
      <c r="G31" s="14" t="n"/>
      <c r="H31" s="14" t="n"/>
      <c r="I31" s="16">
        <f>SUM(I23:I30)</f>
        <v/>
      </c>
    </row>
    <row r="33" ht="20" customHeight="1">
      <c r="A33" s="6" t="inlineStr">
        <is>
          <t>C · Verpflegungsmehraufwand (Pauschale, kein Beleg nötig)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24" customHeight="1">
      <c r="A34" s="8" t="inlineStr">
        <is>
          <t>Datum</t>
        </is>
      </c>
      <c r="B34" s="8" t="inlineStr">
        <is>
          <t>Ort / Land</t>
        </is>
      </c>
      <c r="C34" s="8" t="inlineStr">
        <is>
          <t>Abwesenheit</t>
        </is>
      </c>
      <c r="D34" s="8" t="inlineStr">
        <is>
          <t>Pauschale</t>
        </is>
      </c>
      <c r="E34" s="8" t="inlineStr">
        <is>
          <t>Kürzung</t>
        </is>
      </c>
      <c r="F34" s="8" t="inlineStr">
        <is>
          <t>F</t>
        </is>
      </c>
      <c r="G34" s="8" t="inlineStr">
        <is>
          <t>M</t>
        </is>
      </c>
      <c r="H34" s="8" t="inlineStr">
        <is>
          <t>A</t>
        </is>
      </c>
      <c r="I34" s="8" t="inlineStr">
        <is>
          <t>Betrag</t>
        </is>
      </c>
    </row>
    <row r="35">
      <c r="A35" s="9" t="n"/>
      <c r="B35" s="4" t="n"/>
      <c r="C35" s="4" t="n"/>
      <c r="D35" s="13">
        <f>IF($A35="","",IFERROR(INDEX('Saetze 2026'!$C$5:$F$7,MATCH($B35,'Saetze 2026'!$B$5:$B$7,0),MATCH($C35,'Saetze 2026'!$C$4:$F$4,0)),0))</f>
        <v/>
      </c>
      <c r="E35" s="13">
        <f>IF($A35="","",IFERROR(INDEX('Saetze 2026'!$C$5:$C$7,MATCH($B35,'Saetze 2026'!$B$5:$B$7,0)),0)*(IF(LOWER($F35)="x",'Saetze 2026'!$B$10,0)+IF(LOWER($G35)="x",'Saetze 2026'!$B$11,0)+IF(LOWER($H35)="x",'Saetze 2026'!$B$12,0)))</f>
        <v/>
      </c>
      <c r="F35" s="18" t="n"/>
      <c r="G35" s="18" t="n"/>
      <c r="H35" s="18" t="n"/>
      <c r="I35" s="13">
        <f>IF($A35="","",MAX(0,$D35-$E35))</f>
        <v/>
      </c>
    </row>
    <row r="36">
      <c r="A36" s="9" t="n"/>
      <c r="B36" s="4" t="n"/>
      <c r="C36" s="4" t="n"/>
      <c r="D36" s="13">
        <f>IF($A36="","",IFERROR(INDEX('Saetze 2026'!$C$5:$F$7,MATCH($B36,'Saetze 2026'!$B$5:$B$7,0),MATCH($C36,'Saetze 2026'!$C$4:$F$4,0)),0))</f>
        <v/>
      </c>
      <c r="E36" s="13">
        <f>IF($A36="","",IFERROR(INDEX('Saetze 2026'!$C$5:$C$7,MATCH($B36,'Saetze 2026'!$B$5:$B$7,0)),0)*(IF(LOWER($F36)="x",'Saetze 2026'!$B$10,0)+IF(LOWER($G36)="x",'Saetze 2026'!$B$11,0)+IF(LOWER($H36)="x",'Saetze 2026'!$B$12,0)))</f>
        <v/>
      </c>
      <c r="F36" s="18" t="n"/>
      <c r="G36" s="18" t="n"/>
      <c r="H36" s="18" t="n"/>
      <c r="I36" s="13">
        <f>IF($A36="","",MAX(0,$D36-$E36))</f>
        <v/>
      </c>
    </row>
    <row r="37">
      <c r="A37" s="9" t="n"/>
      <c r="B37" s="4" t="n"/>
      <c r="C37" s="4" t="n"/>
      <c r="D37" s="13">
        <f>IF($A37="","",IFERROR(INDEX('Saetze 2026'!$C$5:$F$7,MATCH($B37,'Saetze 2026'!$B$5:$B$7,0),MATCH($C37,'Saetze 2026'!$C$4:$F$4,0)),0))</f>
        <v/>
      </c>
      <c r="E37" s="13">
        <f>IF($A37="","",IFERROR(INDEX('Saetze 2026'!$C$5:$C$7,MATCH($B37,'Saetze 2026'!$B$5:$B$7,0)),0)*(IF(LOWER($F37)="x",'Saetze 2026'!$B$10,0)+IF(LOWER($G37)="x",'Saetze 2026'!$B$11,0)+IF(LOWER($H37)="x",'Saetze 2026'!$B$12,0)))</f>
        <v/>
      </c>
      <c r="F37" s="18" t="n"/>
      <c r="G37" s="18" t="n"/>
      <c r="H37" s="18" t="n"/>
      <c r="I37" s="13">
        <f>IF($A37="","",MAX(0,$D37-$E37))</f>
        <v/>
      </c>
    </row>
    <row r="38">
      <c r="A38" s="9" t="n"/>
      <c r="B38" s="4" t="n"/>
      <c r="C38" s="4" t="n"/>
      <c r="D38" s="13">
        <f>IF($A38="","",IFERROR(INDEX('Saetze 2026'!$C$5:$F$7,MATCH($B38,'Saetze 2026'!$B$5:$B$7,0),MATCH($C38,'Saetze 2026'!$C$4:$F$4,0)),0))</f>
        <v/>
      </c>
      <c r="E38" s="13">
        <f>IF($A38="","",IFERROR(INDEX('Saetze 2026'!$C$5:$C$7,MATCH($B38,'Saetze 2026'!$B$5:$B$7,0)),0)*(IF(LOWER($F38)="x",'Saetze 2026'!$B$10,0)+IF(LOWER($G38)="x",'Saetze 2026'!$B$11,0)+IF(LOWER($H38)="x",'Saetze 2026'!$B$12,0)))</f>
        <v/>
      </c>
      <c r="F38" s="18" t="n"/>
      <c r="G38" s="18" t="n"/>
      <c r="H38" s="18" t="n"/>
      <c r="I38" s="13">
        <f>IF($A38="","",MAX(0,$D38-$E38))</f>
        <v/>
      </c>
    </row>
    <row r="39">
      <c r="A39" s="9" t="n"/>
      <c r="B39" s="4" t="n"/>
      <c r="C39" s="4" t="n"/>
      <c r="D39" s="13">
        <f>IF($A39="","",IFERROR(INDEX('Saetze 2026'!$C$5:$F$7,MATCH($B39,'Saetze 2026'!$B$5:$B$7,0),MATCH($C39,'Saetze 2026'!$C$4:$F$4,0)),0))</f>
        <v/>
      </c>
      <c r="E39" s="13">
        <f>IF($A39="","",IFERROR(INDEX('Saetze 2026'!$C$5:$C$7,MATCH($B39,'Saetze 2026'!$B$5:$B$7,0)),0)*(IF(LOWER($F39)="x",'Saetze 2026'!$B$10,0)+IF(LOWER($G39)="x",'Saetze 2026'!$B$11,0)+IF(LOWER($H39)="x",'Saetze 2026'!$B$12,0)))</f>
        <v/>
      </c>
      <c r="F39" s="18" t="n"/>
      <c r="G39" s="18" t="n"/>
      <c r="H39" s="18" t="n"/>
      <c r="I39" s="13">
        <f>IF($A39="","",MAX(0,$D39-$E39))</f>
        <v/>
      </c>
    </row>
    <row r="40">
      <c r="A40" s="9" t="n"/>
      <c r="B40" s="4" t="n"/>
      <c r="C40" s="4" t="n"/>
      <c r="D40" s="13">
        <f>IF($A40="","",IFERROR(INDEX('Saetze 2026'!$C$5:$F$7,MATCH($B40,'Saetze 2026'!$B$5:$B$7,0),MATCH($C40,'Saetze 2026'!$C$4:$F$4,0)),0))</f>
        <v/>
      </c>
      <c r="E40" s="13">
        <f>IF($A40="","",IFERROR(INDEX('Saetze 2026'!$C$5:$C$7,MATCH($B40,'Saetze 2026'!$B$5:$B$7,0)),0)*(IF(LOWER($F40)="x",'Saetze 2026'!$B$10,0)+IF(LOWER($G40)="x",'Saetze 2026'!$B$11,0)+IF(LOWER($H40)="x",'Saetze 2026'!$B$12,0)))</f>
        <v/>
      </c>
      <c r="F40" s="18" t="n"/>
      <c r="G40" s="18" t="n"/>
      <c r="H40" s="18" t="n"/>
      <c r="I40" s="13">
        <f>IF($A40="","",MAX(0,$D40-$E40))</f>
        <v/>
      </c>
    </row>
    <row r="41">
      <c r="A41" s="14" t="n"/>
      <c r="B41" s="15" t="inlineStr">
        <is>
          <t>Summe Verpflegungsmehraufwand</t>
        </is>
      </c>
      <c r="C41" s="14" t="n"/>
      <c r="D41" s="14" t="n"/>
      <c r="E41" s="14" t="n"/>
      <c r="F41" s="14" t="n"/>
      <c r="G41" s="14" t="n"/>
      <c r="H41" s="14" t="n"/>
      <c r="I41" s="16">
        <f>SUM(I35:I40)</f>
        <v/>
      </c>
    </row>
    <row r="43" ht="20" customHeight="1">
      <c r="A43" s="6" t="inlineStr">
        <is>
          <t>D · Übernachtung (mit Beleg, ohne Frühstücksanteil)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24" customHeight="1">
      <c r="A44" s="8" t="inlineStr">
        <is>
          <t>Datum</t>
        </is>
      </c>
      <c r="B44" s="8" t="inlineStr">
        <is>
          <t>Hotel / Ort</t>
        </is>
      </c>
      <c r="C44" s="8" t="inlineStr">
        <is>
          <t>Beleg-Nr.</t>
        </is>
      </c>
      <c r="I44" s="8" t="inlineStr">
        <is>
          <t>Betrag</t>
        </is>
      </c>
    </row>
    <row r="45">
      <c r="A45" s="9" t="n"/>
      <c r="B45" s="4" t="n"/>
      <c r="C45" s="4" t="n"/>
      <c r="D45" s="12" t="n"/>
      <c r="E45" s="12" t="n"/>
      <c r="F45" s="12" t="n"/>
      <c r="G45" s="12" t="n"/>
      <c r="H45" s="12" t="n"/>
      <c r="I45" s="17" t="n"/>
    </row>
    <row r="46">
      <c r="A46" s="9" t="n"/>
      <c r="B46" s="4" t="n"/>
      <c r="C46" s="4" t="n"/>
      <c r="D46" s="12" t="n"/>
      <c r="E46" s="12" t="n"/>
      <c r="F46" s="12" t="n"/>
      <c r="G46" s="12" t="n"/>
      <c r="H46" s="12" t="n"/>
      <c r="I46" s="17" t="n"/>
    </row>
    <row r="47">
      <c r="A47" s="9" t="n"/>
      <c r="B47" s="4" t="n"/>
      <c r="C47" s="4" t="n"/>
      <c r="D47" s="12" t="n"/>
      <c r="E47" s="12" t="n"/>
      <c r="F47" s="12" t="n"/>
      <c r="G47" s="12" t="n"/>
      <c r="H47" s="12" t="n"/>
      <c r="I47" s="17" t="n"/>
    </row>
    <row r="48">
      <c r="A48" s="14" t="n"/>
      <c r="B48" s="15" t="inlineStr">
        <is>
          <t>Summe Übernachtung</t>
        </is>
      </c>
      <c r="C48" s="14" t="n"/>
      <c r="D48" s="14" t="n"/>
      <c r="E48" s="14" t="n"/>
      <c r="F48" s="14" t="n"/>
      <c r="G48" s="14" t="n"/>
      <c r="H48" s="14" t="n"/>
      <c r="I48" s="16">
        <f>SUM(I45:I47)</f>
        <v/>
      </c>
    </row>
    <row r="50" ht="20" customHeight="1">
      <c r="A50" s="6" t="inlineStr">
        <is>
          <t>E · Sonstige Reisenebenkosten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24" customHeight="1">
      <c r="A51" s="8" t="inlineStr">
        <is>
          <t>Datum</t>
        </is>
      </c>
      <c r="B51" s="8" t="inlineStr">
        <is>
          <t>Art</t>
        </is>
      </c>
      <c r="C51" s="8" t="inlineStr">
        <is>
          <t>Beschreibung</t>
        </is>
      </c>
      <c r="I51" s="8" t="inlineStr">
        <is>
          <t>Betrag</t>
        </is>
      </c>
    </row>
    <row r="52">
      <c r="A52" s="9" t="n"/>
      <c r="B52" s="4" t="n"/>
      <c r="C52" s="4" t="n"/>
      <c r="D52" s="12" t="n"/>
      <c r="E52" s="12" t="n"/>
      <c r="F52" s="12" t="n"/>
      <c r="G52" s="12" t="n"/>
      <c r="H52" s="12" t="n"/>
      <c r="I52" s="17" t="n"/>
    </row>
    <row r="53">
      <c r="A53" s="9" t="n"/>
      <c r="B53" s="4" t="n"/>
      <c r="C53" s="4" t="n"/>
      <c r="D53" s="12" t="n"/>
      <c r="E53" s="12" t="n"/>
      <c r="F53" s="12" t="n"/>
      <c r="G53" s="12" t="n"/>
      <c r="H53" s="12" t="n"/>
      <c r="I53" s="17" t="n"/>
    </row>
    <row r="54">
      <c r="A54" s="9" t="n"/>
      <c r="B54" s="4" t="n"/>
      <c r="C54" s="4" t="n"/>
      <c r="D54" s="12" t="n"/>
      <c r="E54" s="12" t="n"/>
      <c r="F54" s="12" t="n"/>
      <c r="G54" s="12" t="n"/>
      <c r="H54" s="12" t="n"/>
      <c r="I54" s="17" t="n"/>
    </row>
    <row r="55">
      <c r="A55" s="9" t="n"/>
      <c r="B55" s="4" t="n"/>
      <c r="C55" s="4" t="n"/>
      <c r="D55" s="12" t="n"/>
      <c r="E55" s="12" t="n"/>
      <c r="F55" s="12" t="n"/>
      <c r="G55" s="12" t="n"/>
      <c r="H55" s="12" t="n"/>
      <c r="I55" s="17" t="n"/>
    </row>
    <row r="56">
      <c r="A56" s="14" t="n"/>
      <c r="B56" s="15" t="inlineStr">
        <is>
          <t>Summe sonstige Nebenkosten</t>
        </is>
      </c>
      <c r="C56" s="14" t="n"/>
      <c r="D56" s="14" t="n"/>
      <c r="E56" s="14" t="n"/>
      <c r="F56" s="14" t="n"/>
      <c r="G56" s="14" t="n"/>
      <c r="H56" s="14" t="n"/>
      <c r="I56" s="16">
        <f>SUM(I52:I55)</f>
        <v/>
      </c>
    </row>
    <row r="58" ht="20" customHeight="1">
      <c r="A58" s="6" t="inlineStr">
        <is>
          <t>Ergebnis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B59" s="3" t="inlineStr">
        <is>
          <t>Summe A bis E</t>
        </is>
      </c>
      <c r="I59" s="19">
        <f>I19+I31+I41+I48+I56</f>
        <v/>
      </c>
    </row>
    <row r="60">
      <c r="B60" s="20" t="inlineStr">
        <is>
          <t>abzüglich Vorschuss</t>
        </is>
      </c>
      <c r="I60" s="17" t="n"/>
    </row>
    <row r="61">
      <c r="B61" s="20" t="inlineStr">
        <is>
          <t>abzüglich direkt von der Firma bezahlt</t>
        </is>
      </c>
      <c r="I61" s="17" t="n"/>
    </row>
    <row r="62" ht="22" customHeight="1">
      <c r="A62" s="21" t="n"/>
      <c r="B62" s="22" t="inlineStr">
        <is>
          <t>Zu erstatten</t>
        </is>
      </c>
      <c r="C62" s="21" t="n"/>
      <c r="D62" s="21" t="n"/>
      <c r="E62" s="21" t="n"/>
      <c r="F62" s="21" t="n"/>
      <c r="G62" s="21" t="n"/>
      <c r="H62" s="21" t="n"/>
      <c r="I62" s="23">
        <f>I59-N(I60)-N(I61)</f>
        <v/>
      </c>
    </row>
    <row r="65">
      <c r="A65" s="20" t="inlineStr">
        <is>
          <t>_______________________________</t>
        </is>
      </c>
      <c r="E65" s="20" t="inlineStr">
        <is>
          <t>_______________________________</t>
        </is>
      </c>
    </row>
    <row r="66">
      <c r="A66" s="2" t="inlineStr">
        <is>
          <t>Ort, Datum</t>
        </is>
      </c>
      <c r="E66" s="2" t="inlineStr">
        <is>
          <t>Unterschrift</t>
        </is>
      </c>
    </row>
    <row r="69" ht="20" customHeight="1">
      <c r="A69" s="6" t="inlineStr">
        <is>
          <t>Hinweise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30" customHeight="1">
      <c r="A70" s="24" t="inlineStr">
        <is>
          <t>Verpflegung</t>
        </is>
      </c>
      <c r="B70" s="25" t="inlineStr">
        <is>
          <t>Pauschale, keine Belege. Inland 28 € bei 24 h, 14 € am An-/Abreisetag und bei eintägigen Reisen über 8 h. London 66 € bzw. 44 €. Unter 8 h gibt es nichts.</t>
        </is>
      </c>
    </row>
    <row r="71" ht="30" customHeight="1">
      <c r="A71" s="24" t="inlineStr"/>
      <c r="B71" s="25" t="inlineStr">
        <is>
          <t>Stellt die Firma eine Mahlzeit (auch Hotelfrühstück), wird gekürzt: 20 % Frühstück, je 40 % Mittag- und Abendessen — vom vollen Tagessatz, auch am Anreisetag.</t>
        </is>
      </c>
    </row>
    <row r="72" ht="30" customHeight="1">
      <c r="A72" s="24" t="inlineStr"/>
      <c r="B72" s="25" t="inlineStr">
        <is>
          <t>Nach drei Monaten an derselben auswärtigen Tätigkeitsstätte entfällt der Anspruch.</t>
        </is>
      </c>
    </row>
    <row r="73" ht="30" customHeight="1">
      <c r="A73" s="24" t="inlineStr">
        <is>
          <t>Auslandsreise</t>
        </is>
      </c>
      <c r="B73" s="25" t="inlineStr">
        <is>
          <t>Maßgeblich ist der Ort, der vor Mitternacht erreicht wurde. Bei Zwischenlandung zählt der letzte Tätigkeitsort des Tages.</t>
        </is>
      </c>
    </row>
    <row r="74" ht="30" customHeight="1">
      <c r="A74" s="24" t="inlineStr">
        <is>
          <t>Eigenes Fahrzeug</t>
        </is>
      </c>
      <c r="B74" s="25" t="inlineStr">
        <is>
          <t>0,30 €/km bei der Dienstreise. Nicht die Entfernungspauschale (0,38 €/km ab 2026), die gilt nur für den Weg zur Arbeit.</t>
        </is>
      </c>
    </row>
    <row r="75" ht="30" customHeight="1">
      <c r="A75" s="24" t="inlineStr">
        <is>
          <t>Übernachtung</t>
        </is>
      </c>
      <c r="B75" s="25" t="inlineStr">
        <is>
          <t>Nur gegen Beleg. Enthält die Rechnung Frühstück, den Anteil herausrechnen und in Block C als gestellte Mahlzeit markieren.</t>
        </is>
      </c>
    </row>
    <row r="76" ht="30" customHeight="1">
      <c r="A76" s="24" t="inlineStr">
        <is>
          <t>Belege</t>
        </is>
      </c>
      <c r="B76" s="25" t="inlineStr">
        <is>
          <t>Durchnummerieren, Nummer eintragen, in derselben Reihenfolge anheften. Aufbewahrung 10 Jahre.</t>
        </is>
      </c>
    </row>
    <row r="77" ht="30" customHeight="1">
      <c r="A77" s="24" t="inlineStr">
        <is>
          <t>Umsatzsteuer</t>
        </is>
      </c>
      <c r="B77" s="25" t="inlineStr">
        <is>
          <t>Aus Hotel-, Bahn- und Taxibelegen ist Vorsteuer ziehbar, aus Verpflegungs- und Kilometerpauschale nicht. Bei Auslandsbelegen gibt es keine deutsche Vorsteuer.</t>
        </is>
      </c>
    </row>
  </sheetData>
  <mergeCells count="45">
    <mergeCell ref="B9:E9"/>
    <mergeCell ref="B75:I75"/>
    <mergeCell ref="B6:E6"/>
    <mergeCell ref="B72:I72"/>
    <mergeCell ref="E16:H16"/>
    <mergeCell ref="B5:E5"/>
    <mergeCell ref="D46:H46"/>
    <mergeCell ref="A50:I50"/>
    <mergeCell ref="B71:I71"/>
    <mergeCell ref="A21:I21"/>
    <mergeCell ref="D45:H45"/>
    <mergeCell ref="D52:H52"/>
    <mergeCell ref="B70:I70"/>
    <mergeCell ref="A2:I2"/>
    <mergeCell ref="E18:H18"/>
    <mergeCell ref="B4:E4"/>
    <mergeCell ref="A33:I33"/>
    <mergeCell ref="B77:I77"/>
    <mergeCell ref="D27:H27"/>
    <mergeCell ref="B7:E7"/>
    <mergeCell ref="B73:I73"/>
    <mergeCell ref="A43:I43"/>
    <mergeCell ref="E17:H17"/>
    <mergeCell ref="D53:H53"/>
    <mergeCell ref="D47:H47"/>
    <mergeCell ref="B12:E12"/>
    <mergeCell ref="A13:I13"/>
    <mergeCell ref="D28:H28"/>
    <mergeCell ref="B11:E11"/>
    <mergeCell ref="A58:I58"/>
    <mergeCell ref="B74:I74"/>
    <mergeCell ref="D30:H30"/>
    <mergeCell ref="D25:H25"/>
    <mergeCell ref="B8:E8"/>
    <mergeCell ref="D55:H55"/>
    <mergeCell ref="D24:H24"/>
    <mergeCell ref="A1:I1"/>
    <mergeCell ref="D29:H29"/>
    <mergeCell ref="E15:H15"/>
    <mergeCell ref="D23:H23"/>
    <mergeCell ref="B76:I76"/>
    <mergeCell ref="A69:I69"/>
    <mergeCell ref="B10:E10"/>
    <mergeCell ref="D54:H54"/>
    <mergeCell ref="D26:H26"/>
  </mergeCells>
  <dataValidations count="4">
    <dataValidation sqref="C15:C18" showDropDown="0" showInputMessage="0" showErrorMessage="0" allowBlank="1" type="list">
      <formula1>='Saetze 2026'!$A$15:$A$17</formula1>
    </dataValidation>
    <dataValidation sqref="B35:B40" showDropDown="0" showInputMessage="0" showErrorMessage="0" allowBlank="1" type="list">
      <formula1>='Saetze 2026'!$B$5:$B$7</formula1>
    </dataValidation>
    <dataValidation sqref="C35:C40" showDropDown="0" showInputMessage="0" showErrorMessage="0" allowBlank="1" type="list">
      <formula1>='Saetze 2026'!$C$4:$F$4</formula1>
    </dataValidation>
    <dataValidation sqref="F35:H40" showDropDown="0" showInputMessage="0" showErrorMessage="0" allowBlank="1" type="list">
      <formula1>"x"</formula1>
    </dataValidation>
  </dataValidations>
  <pageMargins left="0.75" right="0.75" top="1" bottom="1" header="0.5" footer="0.5"/>
  <pageSetup orientation="portrait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Pauschalen 2026</t>
        </is>
      </c>
    </row>
    <row r="2">
      <c r="A2" s="2" t="inlineStr">
        <is>
          <t>Diese Werte steuern die Formeln im Blatt „Abrechnung“. Ändern sich die Sätze, nur hier anfassen.</t>
        </is>
      </c>
    </row>
    <row r="4" ht="28" customHeight="1">
      <c r="A4" s="8" t="inlineStr">
        <is>
          <t>Ort / Land</t>
        </is>
      </c>
      <c r="B4" s="8" t="inlineStr">
        <is>
          <t>Schlüssel</t>
        </is>
      </c>
      <c r="C4" s="8" t="inlineStr">
        <is>
          <t>voller Tag (24 h)</t>
        </is>
      </c>
      <c r="D4" s="8" t="inlineStr">
        <is>
          <t>An-/Abreisetag</t>
        </is>
      </c>
      <c r="E4" s="8" t="inlineStr">
        <is>
          <t>über 8 h</t>
        </is>
      </c>
      <c r="F4" s="8" t="inlineStr">
        <is>
          <t>unter 8 h</t>
        </is>
      </c>
      <c r="G4" s="8" t="inlineStr">
        <is>
          <t>Übernachtung ohne Beleg</t>
        </is>
      </c>
    </row>
    <row r="5">
      <c r="A5" s="20" t="inlineStr">
        <is>
          <t>Deutschland (Inland)</t>
        </is>
      </c>
      <c r="B5" s="20" t="inlineStr">
        <is>
          <t>Inland</t>
        </is>
      </c>
      <c r="C5" s="26" t="n">
        <v>28</v>
      </c>
      <c r="D5" s="26" t="n">
        <v>14</v>
      </c>
      <c r="E5" s="26" t="n">
        <v>14</v>
      </c>
      <c r="F5" s="26" t="n">
        <v>0</v>
      </c>
      <c r="G5" s="26" t="inlineStr">
        <is>
          <t>—</t>
        </is>
      </c>
    </row>
    <row r="6">
      <c r="A6" s="20" t="inlineStr">
        <is>
          <t>London</t>
        </is>
      </c>
      <c r="B6" s="20" t="inlineStr">
        <is>
          <t>London</t>
        </is>
      </c>
      <c r="C6" s="26" t="n">
        <v>66</v>
      </c>
      <c r="D6" s="26" t="n">
        <v>44</v>
      </c>
      <c r="E6" s="26" t="n">
        <v>44</v>
      </c>
      <c r="F6" s="26" t="n">
        <v>0</v>
      </c>
      <c r="G6" s="26" t="n">
        <v>163</v>
      </c>
    </row>
    <row r="7">
      <c r="A7" s="20" t="inlineStr">
        <is>
          <t>Vereinigtes Königreich übrig</t>
        </is>
      </c>
      <c r="B7" s="20" t="inlineStr">
        <is>
          <t>Großbritannien</t>
        </is>
      </c>
      <c r="C7" s="26" t="n">
        <v>52</v>
      </c>
      <c r="D7" s="26" t="n">
        <v>35</v>
      </c>
      <c r="E7" s="26" t="n">
        <v>35</v>
      </c>
      <c r="F7" s="26" t="n">
        <v>0</v>
      </c>
      <c r="G7" s="26" t="n">
        <v>99</v>
      </c>
    </row>
    <row r="9">
      <c r="A9" s="3" t="inlineStr">
        <is>
          <t>Kürzung bei gestellter Mahlzeit — Anteil vom vollen Tagessatz des jeweiligen Ortes</t>
        </is>
      </c>
    </row>
    <row r="10">
      <c r="A10" s="20" t="inlineStr">
        <is>
          <t>Frühstück</t>
        </is>
      </c>
      <c r="B10" s="27" t="n">
        <v>0.2</v>
      </c>
    </row>
    <row r="11">
      <c r="A11" s="20" t="inlineStr">
        <is>
          <t>Mittagessen</t>
        </is>
      </c>
      <c r="B11" s="27" t="n">
        <v>0.4</v>
      </c>
    </row>
    <row r="12">
      <c r="A12" s="20" t="inlineStr">
        <is>
          <t>Abendessen</t>
        </is>
      </c>
      <c r="B12" s="27" t="n">
        <v>0.4</v>
      </c>
    </row>
    <row r="14">
      <c r="A14" s="3" t="inlineStr">
        <is>
          <t>Fahrtkosten eigenes Fahrzeug (Dienstreise)</t>
        </is>
      </c>
    </row>
    <row r="15">
      <c r="A15" s="20" t="inlineStr">
        <is>
          <t>Pkw, je Kilometer</t>
        </is>
      </c>
      <c r="C15" s="28" t="n">
        <v>0.3</v>
      </c>
    </row>
    <row r="16">
      <c r="A16" s="20" t="inlineStr">
        <is>
          <t>Motorrad / Moped, je Kilometer</t>
        </is>
      </c>
      <c r="C16" s="28" t="n">
        <v>0.2</v>
      </c>
    </row>
    <row r="17">
      <c r="A17" s="20" t="inlineStr">
        <is>
          <t>Fahrrad, je Kilometer</t>
        </is>
      </c>
      <c r="C17" s="28" t="n">
        <v>0.05</v>
      </c>
    </row>
    <row r="20">
      <c r="A20" s="3" t="inlineStr">
        <is>
          <t>Quellen und Vorbehalte</t>
        </is>
      </c>
    </row>
    <row r="21">
      <c r="A21" s="2" t="inlineStr">
        <is>
          <t>Inland 28 €/14 €: § 9 Abs. 4a EStG, für 2026 unverändert.</t>
        </is>
      </c>
    </row>
    <row r="22">
      <c r="A22" s="2" t="inlineStr">
        <is>
          <t>London 66 €/44 €, Übernachtung 163 €: BMF-Schreiben vom 05.12.2025 zu Auslandsreisekosten ab 01.01.2026.</t>
        </is>
      </c>
    </row>
    <row r="23">
      <c r="A23" s="2" t="inlineStr">
        <is>
          <t xml:space="preserve">   Übereinstimmend aus mehreren Sekundärquellen; vor Einreichung gegen die amtliche BMF-Tabelle prüfen.</t>
        </is>
      </c>
    </row>
    <row r="24">
      <c r="A24" s="2" t="inlineStr">
        <is>
          <t>Kilometersatz Dienstreise Pkw 0,30 €/km: für 2026 unverändert.</t>
        </is>
      </c>
    </row>
    <row r="25">
      <c r="A25" s="2" t="inlineStr">
        <is>
          <t>Entfernungspauschale ab 2026 einheitlich 0,38 €/km — betrifft diese Abrechnung NICHT.</t>
        </is>
      </c>
    </row>
    <row r="26">
      <c r="A26" s="2" t="inlineStr">
        <is>
          <t>Übernachtungspauschale ohne Beleg: nur für die steuerfreie Arbeitgeber-Erstattung,</t>
        </is>
      </c>
    </row>
    <row r="27">
      <c r="A27" s="2" t="inlineStr">
        <is>
          <t xml:space="preserve">   nicht für den Betriebsausgabenabzug. Vor Nutzung mit dem Steuerberater klären.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2026-10-21T16:36:11Z</dcterms:created>
  <dcterms:modified xmlns:dcterms="http://purl.org/dc/terms/" xmlns:xsi="http://www.w3.org/2001/XMLSchema-instance" xsi:type="dcterms:W3CDTF">2026-10-21T16:36:11Z</dcterms:modified>
</cp:coreProperties>
</file>