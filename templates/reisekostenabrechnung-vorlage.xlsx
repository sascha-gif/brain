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rechnung" sheetId="1" state="visible" r:id="rId3"/>
    <sheet name="Saetze 2026" sheetId="2" state="visible" r:id="rId4"/>
  </sheets>
  <definedNames>
    <definedName function="false" hidden="false" localSheetId="0" name="_xlnm.Print_Area" vbProcedure="false">Abrechnung!$A$1:$I$78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34" authorId="0">
      <text>
        <r>
          <rPr>
            <sz val="10"/>
            <rFont val="Arial"/>
            <family val="2"/>
          </rPr>
          <t xml:space="preserve">Gestellte Mahlzeit mit „x“ markieren:
F = Frühstück, M = Mittagessen, A = Abendessen.
Dazu zählt auch das im Hotelpreis enthaltene Frühstück.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9" authorId="0">
      <text>
        <r>
          <rPr>
            <sz val="10"/>
            <rFont val="Arial"/>
            <family val="2"/>
          </rPr>
          <t xml:space="preserve">Die Kürzung bemisst sich immer am vollen Tagessatz, auch an An- und Abreisetagen. Sie kann die Pauschale höchstens auf 0 € drücken.
Für London: Frühstück 13,20 €, Mittag- und Abendessen je 26,40 €.</t>
        </r>
      </text>
    </comment>
    <comment ref="A15" authorId="0">
      <text>
        <r>
          <rPr>
            <sz val="10"/>
            <rFont val="Arial"/>
            <family val="2"/>
          </rPr>
          <t xml:space="preserve">Nicht mit der Entfernungspauschale verwechseln: die ist ab 01.01.2026 einheitlich 0,38 €/km, gilt aber nur für den Weg Wohnung–erste Tätigkeitsstätte, nicht für Dienstreisen. Für Dienstreisen bleibt es bei 0,30 €/km.</t>
        </r>
      </text>
    </comment>
  </commentList>
</comments>
</file>

<file path=xl/sharedStrings.xml><?xml version="1.0" encoding="utf-8"?>
<sst xmlns="http://schemas.openxmlformats.org/spreadsheetml/2006/main" count="107" uniqueCount="94">
  <si>
    <t xml:space="preserve">Reisekostenabrechnung</t>
  </si>
  <si>
    <t xml:space="preserve">Inland und Ausland · Stand 2026 · Sätze siehe Blatt „Saetze 2026“</t>
  </si>
  <si>
    <t xml:space="preserve">Firma</t>
  </si>
  <si>
    <t xml:space="preserve">Coldewey Holding</t>
  </si>
  <si>
    <t xml:space="preserve">Gelb = ausfüllen</t>
  </si>
  <si>
    <t xml:space="preserve">Reisende/r</t>
  </si>
  <si>
    <t xml:space="preserve">Weiß = rechnet sich</t>
  </si>
  <si>
    <t xml:space="preserve">Funktion</t>
  </si>
  <si>
    <t xml:space="preserve">Managing Director</t>
  </si>
  <si>
    <t xml:space="preserve">Reisezweck</t>
  </si>
  <si>
    <t xml:space="preserve">Reiseziel</t>
  </si>
  <si>
    <t xml:space="preserve">Reise von (Datum, Uhrzeit)</t>
  </si>
  <si>
    <t xml:space="preserve">Reise bis (Datum, Uhrzeit)</t>
  </si>
  <si>
    <t xml:space="preserve">Abrechnung erstellt am</t>
  </si>
  <si>
    <t xml:space="preserve">A · Fahrt mit eigenem Fahrzeug</t>
  </si>
  <si>
    <t xml:space="preserve">Datum</t>
  </si>
  <si>
    <t xml:space="preserve">Strecke</t>
  </si>
  <si>
    <t xml:space="preserve">Fahrzeug</t>
  </si>
  <si>
    <t xml:space="preserve">Kilometer</t>
  </si>
  <si>
    <t xml:space="preserve">€/km</t>
  </si>
  <si>
    <t xml:space="preserve">Betrag</t>
  </si>
  <si>
    <t xml:space="preserve">Summe Fahrt eigenes Fahrzeug</t>
  </si>
  <si>
    <t xml:space="preserve">B · Fahrtkosten und Transport mit Beleg</t>
  </si>
  <si>
    <t xml:space="preserve">Art</t>
  </si>
  <si>
    <t xml:space="preserve">Beschreibung</t>
  </si>
  <si>
    <t xml:space="preserve">Summe Fahrtkosten mit Beleg</t>
  </si>
  <si>
    <t xml:space="preserve">C · Verpflegungsmehraufwand (Pauschale, kein Beleg nötig)</t>
  </si>
  <si>
    <t xml:space="preserve">Ort / Land</t>
  </si>
  <si>
    <t xml:space="preserve">Abwesenheit</t>
  </si>
  <si>
    <t xml:space="preserve">Pauschale</t>
  </si>
  <si>
    <t xml:space="preserve">Kürzung</t>
  </si>
  <si>
    <t xml:space="preserve">F</t>
  </si>
  <si>
    <t xml:space="preserve">M</t>
  </si>
  <si>
    <t xml:space="preserve">A</t>
  </si>
  <si>
    <t xml:space="preserve">Summe Verpflegungsmehraufwand</t>
  </si>
  <si>
    <t xml:space="preserve">D · Übernachtung (mit Beleg, ohne Frühstücksanteil)</t>
  </si>
  <si>
    <t xml:space="preserve">Hotel / Ort</t>
  </si>
  <si>
    <t xml:space="preserve">Beleg-Nr.</t>
  </si>
  <si>
    <t xml:space="preserve">Summe Übernachtung</t>
  </si>
  <si>
    <t xml:space="preserve">E · Sonstige Reisenebenkosten</t>
  </si>
  <si>
    <t xml:space="preserve">Summe sonstige Nebenkosten</t>
  </si>
  <si>
    <t xml:space="preserve">Ergebnis</t>
  </si>
  <si>
    <t xml:space="preserve">Summe A bis E</t>
  </si>
  <si>
    <t xml:space="preserve">abzüglich Vorschuss</t>
  </si>
  <si>
    <t xml:space="preserve">abzüglich direkt von der Firma bezahlt</t>
  </si>
  <si>
    <t xml:space="preserve">Zu erstatten</t>
  </si>
  <si>
    <t xml:space="preserve">_______________________________</t>
  </si>
  <si>
    <t xml:space="preserve">Ort, Datum</t>
  </si>
  <si>
    <t xml:space="preserve">Unterschrift</t>
  </si>
  <si>
    <t xml:space="preserve">Hinweise</t>
  </si>
  <si>
    <t xml:space="preserve">Verpflegung</t>
  </si>
  <si>
    <t xml:space="preserve">Pauschale, keine Belege. Inland 28 € bei 24 h, 14 € am An-/Abreisetag und bei eintägigen Reisen über 8 h. London 66 € bzw. 44 €. Unter 8 h gibt es nichts.</t>
  </si>
  <si>
    <t xml:space="preserve">Stellt die Firma eine Mahlzeit (auch Hotelfrühstück), wird gekürzt: 20 % Frühstück, je 40 % Mittag- und Abendessen — vom vollen Tagessatz, auch am Anreisetag.</t>
  </si>
  <si>
    <t xml:space="preserve">Nach drei Monaten an derselben auswärtigen Tätigkeitsstätte entfällt der Anspruch.</t>
  </si>
  <si>
    <t xml:space="preserve">Auslandsreise</t>
  </si>
  <si>
    <t xml:space="preserve">Maßgeblich ist der Ort, der vor Mitternacht erreicht wurde. Bei Zwischenlandung zählt der letzte Tätigkeitsort des Tages.</t>
  </si>
  <si>
    <t xml:space="preserve">Eigenes Fahrzeug</t>
  </si>
  <si>
    <t xml:space="preserve">0,30 €/km bei der Dienstreise. Nicht die Entfernungspauschale (0,38 €/km ab 2026), die gilt nur für den Weg zur Arbeit.</t>
  </si>
  <si>
    <t xml:space="preserve">Übernachtung</t>
  </si>
  <si>
    <t xml:space="preserve">Nur gegen Beleg. Enthält die Rechnung Frühstück, den Anteil herausrechnen und in Block C als gestellte Mahlzeit markieren.</t>
  </si>
  <si>
    <t xml:space="preserve">Belege</t>
  </si>
  <si>
    <t xml:space="preserve">Durchnummerieren, Nummer eintragen, in derselben Reihenfolge anheften. Aufbewahrung 10 Jahre.</t>
  </si>
  <si>
    <t xml:space="preserve">Umsatzsteuer</t>
  </si>
  <si>
    <t xml:space="preserve">Aus Hotel-, Bahn- und Taxibelegen ist Vorsteuer ziehbar, aus Verpflegungs- und Kilometerpauschale nicht. Bei Auslandsbelegen gibt es keine deutsche Vorsteuer.</t>
  </si>
  <si>
    <t xml:space="preserve">Pauschalen 2026</t>
  </si>
  <si>
    <t xml:space="preserve">Diese Werte steuern die Formeln im Blatt „Abrechnung“. Ändern sich die Sätze, nur hier anfassen.</t>
  </si>
  <si>
    <t xml:space="preserve">Schlüssel</t>
  </si>
  <si>
    <t xml:space="preserve">voller Tag (24 h)</t>
  </si>
  <si>
    <t xml:space="preserve">An-/Abreisetag</t>
  </si>
  <si>
    <t xml:space="preserve">über 8 h</t>
  </si>
  <si>
    <t xml:space="preserve">unter 8 h</t>
  </si>
  <si>
    <t xml:space="preserve">Übernachtung ohne Beleg</t>
  </si>
  <si>
    <t xml:space="preserve">Deutschland (Inland)</t>
  </si>
  <si>
    <t xml:space="preserve">Inland</t>
  </si>
  <si>
    <t xml:space="preserve">—</t>
  </si>
  <si>
    <t xml:space="preserve">London</t>
  </si>
  <si>
    <t xml:space="preserve">Vereinigtes Königreich übrig</t>
  </si>
  <si>
    <t xml:space="preserve">Großbritannien</t>
  </si>
  <si>
    <t xml:space="preserve">Kürzung bei gestellter Mahlzeit — Anteil vom vollen Tagessatz des jeweiligen Ortes</t>
  </si>
  <si>
    <t xml:space="preserve">Frühstück</t>
  </si>
  <si>
    <t xml:space="preserve">Mittagessen</t>
  </si>
  <si>
    <t xml:space="preserve">Abendessen</t>
  </si>
  <si>
    <t xml:space="preserve">Fahrtkosten eigenes Fahrzeug (Dienstreise)</t>
  </si>
  <si>
    <t xml:space="preserve">Pkw, je Kilometer</t>
  </si>
  <si>
    <t xml:space="preserve">Motorrad / Moped, je Kilometer</t>
  </si>
  <si>
    <t xml:space="preserve">Fahrrad, je Kilometer</t>
  </si>
  <si>
    <t xml:space="preserve">Quellen und Vorbehalte</t>
  </si>
  <si>
    <t xml:space="preserve">Inland 28 €/14 €: § 9 Abs. 4a EStG, für 2026 unverändert.</t>
  </si>
  <si>
    <t xml:space="preserve">London 66 €/44 €, Übernachtung 163 €: BMF-Schreiben vom 05.12.2025 zu Auslandsreisekosten ab 01.01.2026.</t>
  </si>
  <si>
    <t xml:space="preserve">   Übereinstimmend aus mehreren Sekundärquellen; vor Einreichung gegen die amtliche BMF-Tabelle prüfen.</t>
  </si>
  <si>
    <t xml:space="preserve">Kilometersatz Dienstreise Pkw 0,30 €/km: für 2026 unverändert.</t>
  </si>
  <si>
    <t xml:space="preserve">Entfernungspauschale ab 2026 einheitlich 0,38 €/km — betrifft diese Abrechnung NICHT.</t>
  </si>
  <si>
    <t xml:space="preserve">Übernachtungspauschale ohne Beleg: nur für die steuerfreie Arbeitgeber-Erstattung,</t>
  </si>
  <si>
    <t xml:space="preserve">   nicht für den Betriebsausgabenabzug. Vor Nutzung mit dem Steuerberater klären.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</si>
</sst>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TT.&quot;mm&quot;.JJJJ&quot;"/>
    <numFmt numFmtId="166" formatCode="#,##0"/>
    <numFmt numFmtId="167" formatCode="0.00&quot; €&quot;"/>
    <numFmt numFmtId="168" formatCode="#,##0.00&quot; €&quot;;\-#,##0.00&quot; €&quot;;\-"/>
    <numFmt numFmtId="169" formatCode="0\ 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8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99"/>
        <bgColor rgb="FFF2F2F2"/>
      </patternFill>
    </fill>
    <fill>
      <patternFill patternType="solid">
        <fgColor rgb="FF2F4F4F"/>
        <bgColor rgb="FF595959"/>
      </patternFill>
    </fill>
    <fill>
      <patternFill patternType="solid">
        <fgColor rgb="FFE8E8E8"/>
        <bgColor rgb="FFF2F2F2"/>
      </patternFill>
    </fill>
    <fill>
      <patternFill patternType="solid">
        <fgColor rgb="FFF2F2F2"/>
        <bgColor rgb="FFE8E8E8"/>
      </patternFill>
    </fill>
    <fill>
      <patternFill patternType="solid">
        <fgColor rgb="FFD9E1D9"/>
        <bgColor rgb="FFE8E8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E8E8"/>
      <rgbColor rgb="FF660066"/>
      <rgbColor rgb="FFFF8080"/>
      <rgbColor rgb="FF0066CC"/>
      <rgbColor rgb="FFD9E1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7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7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8" min="6" style="0" width="5"/>
    <col collapsed="false" customWidth="true" hidden="false" outlineLevel="0" max="9" min="9" style="0" width="13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3" t="s">
        <v>2</v>
      </c>
      <c r="B4" s="4" t="s">
        <v>3</v>
      </c>
      <c r="C4" s="4"/>
      <c r="D4" s="4"/>
      <c r="E4" s="4"/>
      <c r="G4" s="5" t="s">
        <v>4</v>
      </c>
    </row>
    <row r="5" customFormat="false" ht="15" hidden="false" customHeight="false" outlineLevel="0" collapsed="false">
      <c r="A5" s="3" t="s">
        <v>5</v>
      </c>
      <c r="B5" s="4"/>
      <c r="C5" s="4"/>
      <c r="D5" s="4"/>
      <c r="E5" s="4"/>
      <c r="G5" s="5" t="s">
        <v>6</v>
      </c>
    </row>
    <row r="6" customFormat="false" ht="15" hidden="false" customHeight="false" outlineLevel="0" collapsed="false">
      <c r="A6" s="3" t="s">
        <v>7</v>
      </c>
      <c r="B6" s="4" t="s">
        <v>8</v>
      </c>
      <c r="C6" s="4"/>
      <c r="D6" s="4"/>
      <c r="E6" s="4"/>
    </row>
    <row r="7" customFormat="false" ht="15" hidden="false" customHeight="false" outlineLevel="0" collapsed="false">
      <c r="A7" s="3" t="s">
        <v>9</v>
      </c>
      <c r="B7" s="4"/>
      <c r="C7" s="4"/>
      <c r="D7" s="4"/>
      <c r="E7" s="4"/>
    </row>
    <row r="8" customFormat="false" ht="15" hidden="false" customHeight="false" outlineLevel="0" collapsed="false">
      <c r="A8" s="3" t="s">
        <v>10</v>
      </c>
      <c r="B8" s="4"/>
      <c r="C8" s="4"/>
      <c r="D8" s="4"/>
      <c r="E8" s="4"/>
    </row>
    <row r="9" customFormat="false" ht="15" hidden="false" customHeight="false" outlineLevel="0" collapsed="false">
      <c r="A9" s="3" t="s">
        <v>11</v>
      </c>
      <c r="B9" s="4"/>
      <c r="C9" s="4"/>
      <c r="D9" s="4"/>
      <c r="E9" s="4"/>
    </row>
    <row r="10" customFormat="false" ht="15" hidden="false" customHeight="false" outlineLevel="0" collapsed="false">
      <c r="A10" s="3" t="s">
        <v>12</v>
      </c>
      <c r="B10" s="4"/>
      <c r="C10" s="4"/>
      <c r="D10" s="4"/>
      <c r="E10" s="4"/>
    </row>
    <row r="11" customFormat="false" ht="15" hidden="false" customHeight="false" outlineLevel="0" collapsed="false">
      <c r="A11" s="3" t="s">
        <v>13</v>
      </c>
      <c r="B11" s="4"/>
      <c r="C11" s="4"/>
      <c r="D11" s="4"/>
      <c r="E11" s="4"/>
    </row>
    <row r="13" customFormat="false" ht="19.5" hidden="false" customHeight="true" outlineLevel="0" collapsed="false">
      <c r="A13" s="6" t="s">
        <v>14</v>
      </c>
      <c r="B13" s="6"/>
      <c r="C13" s="6"/>
      <c r="D13" s="6"/>
      <c r="E13" s="6"/>
      <c r="F13" s="6"/>
      <c r="G13" s="6"/>
      <c r="H13" s="6"/>
      <c r="I13" s="6"/>
    </row>
    <row r="14" customFormat="false" ht="24" hidden="false" customHeight="true" outlineLevel="0" collapsed="false">
      <c r="A14" s="7" t="s">
        <v>15</v>
      </c>
      <c r="B14" s="7" t="s">
        <v>16</v>
      </c>
      <c r="C14" s="7" t="s">
        <v>17</v>
      </c>
      <c r="D14" s="7" t="s">
        <v>18</v>
      </c>
      <c r="E14" s="7" t="s">
        <v>19</v>
      </c>
      <c r="I14" s="7" t="s">
        <v>20</v>
      </c>
    </row>
    <row r="15" customFormat="false" ht="15" hidden="false" customHeight="false" outlineLevel="0" collapsed="false">
      <c r="A15" s="8"/>
      <c r="B15" s="4"/>
      <c r="C15" s="4"/>
      <c r="D15" s="9"/>
      <c r="E15" s="10" t="str">
        <f aca="false">IF($D15="","",IFERROR(INDEX('Saetze 2026'!$C$15:$C$17,MATCH($C15,'Saetze 2026'!$A$15:$A$17,0)),'Saetze 2026'!$C$15))</f>
        <v/>
      </c>
      <c r="F15" s="10"/>
      <c r="G15" s="10"/>
      <c r="H15" s="10"/>
      <c r="I15" s="11" t="str">
        <f aca="false">IF($D15="","",$D15*$E15)</f>
        <v/>
      </c>
    </row>
    <row r="16" customFormat="false" ht="15" hidden="false" customHeight="false" outlineLevel="0" collapsed="false">
      <c r="A16" s="8"/>
      <c r="B16" s="4"/>
      <c r="C16" s="4"/>
      <c r="D16" s="9"/>
      <c r="E16" s="10" t="str">
        <f aca="false">IF($D16="","",IFERROR(INDEX('Saetze 2026'!$C$15:$C$17,MATCH($C16,'Saetze 2026'!$A$15:$A$17,0)),'Saetze 2026'!$C$15))</f>
        <v/>
      </c>
      <c r="F16" s="10"/>
      <c r="G16" s="10"/>
      <c r="H16" s="10"/>
      <c r="I16" s="11" t="str">
        <f aca="false">IF($D16="","",$D16*$E16)</f>
        <v/>
      </c>
    </row>
    <row r="17" customFormat="false" ht="15" hidden="false" customHeight="false" outlineLevel="0" collapsed="false">
      <c r="A17" s="8"/>
      <c r="B17" s="4"/>
      <c r="C17" s="4"/>
      <c r="D17" s="9"/>
      <c r="E17" s="10" t="str">
        <f aca="false">IF($D17="","",IFERROR(INDEX('Saetze 2026'!$C$15:$C$17,MATCH($C17,'Saetze 2026'!$A$15:$A$17,0)),'Saetze 2026'!$C$15))</f>
        <v/>
      </c>
      <c r="F17" s="10"/>
      <c r="G17" s="10"/>
      <c r="H17" s="10"/>
      <c r="I17" s="11" t="str">
        <f aca="false">IF($D17="","",$D17*$E17)</f>
        <v/>
      </c>
    </row>
    <row r="18" customFormat="false" ht="15" hidden="false" customHeight="false" outlineLevel="0" collapsed="false">
      <c r="A18" s="8"/>
      <c r="B18" s="4"/>
      <c r="C18" s="4"/>
      <c r="D18" s="9"/>
      <c r="E18" s="10" t="str">
        <f aca="false">IF($D18="","",IFERROR(INDEX('Saetze 2026'!$C$15:$C$17,MATCH($C18,'Saetze 2026'!$A$15:$A$17,0)),'Saetze 2026'!$C$15))</f>
        <v/>
      </c>
      <c r="F18" s="10"/>
      <c r="G18" s="10"/>
      <c r="H18" s="10"/>
      <c r="I18" s="11" t="str">
        <f aca="false">IF($D18="","",$D18*$E18)</f>
        <v/>
      </c>
    </row>
    <row r="19" customFormat="false" ht="15" hidden="false" customHeight="false" outlineLevel="0" collapsed="false">
      <c r="A19" s="12"/>
      <c r="B19" s="13" t="s">
        <v>21</v>
      </c>
      <c r="C19" s="12"/>
      <c r="D19" s="12"/>
      <c r="E19" s="12"/>
      <c r="F19" s="12"/>
      <c r="G19" s="12"/>
      <c r="H19" s="12"/>
      <c r="I19" s="14" t="n">
        <f aca="false">SUM(I15:I18)</f>
        <v>0</v>
      </c>
    </row>
    <row r="21" customFormat="false" ht="19.5" hidden="false" customHeight="true" outlineLevel="0" collapsed="false">
      <c r="A21" s="6" t="s">
        <v>22</v>
      </c>
      <c r="B21" s="6"/>
      <c r="C21" s="6"/>
      <c r="D21" s="6"/>
      <c r="E21" s="6"/>
      <c r="F21" s="6"/>
      <c r="G21" s="6"/>
      <c r="H21" s="6"/>
      <c r="I21" s="6"/>
    </row>
    <row r="22" customFormat="false" ht="24" hidden="false" customHeight="true" outlineLevel="0" collapsed="false">
      <c r="A22" s="7" t="s">
        <v>15</v>
      </c>
      <c r="B22" s="7" t="s">
        <v>23</v>
      </c>
      <c r="C22" s="7" t="s">
        <v>24</v>
      </c>
      <c r="I22" s="7" t="s">
        <v>20</v>
      </c>
    </row>
    <row r="23" customFormat="false" ht="15" hidden="false" customHeight="false" outlineLevel="0" collapsed="false">
      <c r="A23" s="8"/>
      <c r="B23" s="4"/>
      <c r="C23" s="4"/>
      <c r="D23" s="15"/>
      <c r="E23" s="15"/>
      <c r="F23" s="15"/>
      <c r="G23" s="15"/>
      <c r="H23" s="15"/>
      <c r="I23" s="16"/>
    </row>
    <row r="24" customFormat="false" ht="15" hidden="false" customHeight="false" outlineLevel="0" collapsed="false">
      <c r="A24" s="8"/>
      <c r="B24" s="4"/>
      <c r="C24" s="4"/>
      <c r="D24" s="15"/>
      <c r="E24" s="15"/>
      <c r="F24" s="15"/>
      <c r="G24" s="15"/>
      <c r="H24" s="15"/>
      <c r="I24" s="16"/>
    </row>
    <row r="25" customFormat="false" ht="15" hidden="false" customHeight="false" outlineLevel="0" collapsed="false">
      <c r="A25" s="8"/>
      <c r="B25" s="4"/>
      <c r="C25" s="4"/>
      <c r="D25" s="15"/>
      <c r="E25" s="15"/>
      <c r="F25" s="15"/>
      <c r="G25" s="15"/>
      <c r="H25" s="15"/>
      <c r="I25" s="16"/>
    </row>
    <row r="26" customFormat="false" ht="15" hidden="false" customHeight="false" outlineLevel="0" collapsed="false">
      <c r="A26" s="8"/>
      <c r="B26" s="4"/>
      <c r="C26" s="4"/>
      <c r="D26" s="15"/>
      <c r="E26" s="15"/>
      <c r="F26" s="15"/>
      <c r="G26" s="15"/>
      <c r="H26" s="15"/>
      <c r="I26" s="16"/>
    </row>
    <row r="27" customFormat="false" ht="15" hidden="false" customHeight="false" outlineLevel="0" collapsed="false">
      <c r="A27" s="8"/>
      <c r="B27" s="4"/>
      <c r="C27" s="4"/>
      <c r="D27" s="15"/>
      <c r="E27" s="15"/>
      <c r="F27" s="15"/>
      <c r="G27" s="15"/>
      <c r="H27" s="15"/>
      <c r="I27" s="16"/>
    </row>
    <row r="28" customFormat="false" ht="15" hidden="false" customHeight="false" outlineLevel="0" collapsed="false">
      <c r="A28" s="8"/>
      <c r="B28" s="4"/>
      <c r="C28" s="4"/>
      <c r="D28" s="15"/>
      <c r="E28" s="15"/>
      <c r="F28" s="15"/>
      <c r="G28" s="15"/>
      <c r="H28" s="15"/>
      <c r="I28" s="16"/>
    </row>
    <row r="29" customFormat="false" ht="15" hidden="false" customHeight="false" outlineLevel="0" collapsed="false">
      <c r="A29" s="8"/>
      <c r="B29" s="4"/>
      <c r="C29" s="4"/>
      <c r="D29" s="15"/>
      <c r="E29" s="15"/>
      <c r="F29" s="15"/>
      <c r="G29" s="15"/>
      <c r="H29" s="15"/>
      <c r="I29" s="16"/>
    </row>
    <row r="30" customFormat="false" ht="15" hidden="false" customHeight="false" outlineLevel="0" collapsed="false">
      <c r="A30" s="8"/>
      <c r="B30" s="4"/>
      <c r="C30" s="4"/>
      <c r="D30" s="15"/>
      <c r="E30" s="15"/>
      <c r="F30" s="15"/>
      <c r="G30" s="15"/>
      <c r="H30" s="15"/>
      <c r="I30" s="16"/>
    </row>
    <row r="31" customFormat="false" ht="15" hidden="false" customHeight="false" outlineLevel="0" collapsed="false">
      <c r="A31" s="12"/>
      <c r="B31" s="13" t="s">
        <v>25</v>
      </c>
      <c r="C31" s="12"/>
      <c r="D31" s="12"/>
      <c r="E31" s="12"/>
      <c r="F31" s="12"/>
      <c r="G31" s="12"/>
      <c r="H31" s="12"/>
      <c r="I31" s="14" t="n">
        <f aca="false">SUM(I23:I30)</f>
        <v>0</v>
      </c>
    </row>
    <row r="33" customFormat="false" ht="19.5" hidden="false" customHeight="true" outlineLevel="0" collapsed="false">
      <c r="A33" s="6" t="s">
        <v>26</v>
      </c>
      <c r="B33" s="6"/>
      <c r="C33" s="6"/>
      <c r="D33" s="6"/>
      <c r="E33" s="6"/>
      <c r="F33" s="6"/>
      <c r="G33" s="6"/>
      <c r="H33" s="6"/>
      <c r="I33" s="6"/>
    </row>
    <row r="34" customFormat="false" ht="24" hidden="false" customHeight="true" outlineLevel="0" collapsed="false">
      <c r="A34" s="7" t="s">
        <v>15</v>
      </c>
      <c r="B34" s="7" t="s">
        <v>27</v>
      </c>
      <c r="C34" s="7" t="s">
        <v>28</v>
      </c>
      <c r="D34" s="7" t="s">
        <v>29</v>
      </c>
      <c r="E34" s="7" t="s">
        <v>30</v>
      </c>
      <c r="F34" s="7" t="s">
        <v>31</v>
      </c>
      <c r="G34" s="7" t="s">
        <v>32</v>
      </c>
      <c r="H34" s="7" t="s">
        <v>33</v>
      </c>
      <c r="I34" s="7" t="s">
        <v>20</v>
      </c>
    </row>
    <row r="35" customFormat="false" ht="15" hidden="false" customHeight="false" outlineLevel="0" collapsed="false">
      <c r="A35" s="8"/>
      <c r="B35" s="4"/>
      <c r="C35" s="4"/>
      <c r="D35" s="11" t="str">
        <f aca="false">IF($A35="","",IFERROR(INDEX('Saetze 2026'!$C$5:$F$7,MATCH($B35,'Saetze 2026'!$B$5:$B$7,0),MATCH($C35,'Saetze 2026'!$C$4:$F$4,0)),0))</f>
        <v/>
      </c>
      <c r="E35" s="11" t="str">
        <f aca="false">IF($A35="","",IFERROR(INDEX('Saetze 2026'!$C$5:$C$7,MATCH($B35,'Saetze 2026'!$B$5:$B$7,0)),0)*(IF(LOWER($F35)="x",'Saetze 2026'!$B$10,0)+IF(LOWER($G35)="x",'Saetze 2026'!$B$11,0)+IF(LOWER($H35)="x",'Saetze 2026'!$B$12,0)))</f>
        <v/>
      </c>
      <c r="F35" s="17"/>
      <c r="G35" s="17"/>
      <c r="H35" s="17"/>
      <c r="I35" s="11" t="str">
        <f aca="false">IF($A35="","",MAX(0,$D35-$E35))</f>
        <v/>
      </c>
    </row>
    <row r="36" customFormat="false" ht="15" hidden="false" customHeight="false" outlineLevel="0" collapsed="false">
      <c r="A36" s="8"/>
      <c r="B36" s="4"/>
      <c r="C36" s="4"/>
      <c r="D36" s="11" t="str">
        <f aca="false">IF($A36="","",IFERROR(INDEX('Saetze 2026'!$C$5:$F$7,MATCH($B36,'Saetze 2026'!$B$5:$B$7,0),MATCH($C36,'Saetze 2026'!$C$4:$F$4,0)),0))</f>
        <v/>
      </c>
      <c r="E36" s="11" t="str">
        <f aca="false">IF($A36="","",IFERROR(INDEX('Saetze 2026'!$C$5:$C$7,MATCH($B36,'Saetze 2026'!$B$5:$B$7,0)),0)*(IF(LOWER($F36)="x",'Saetze 2026'!$B$10,0)+IF(LOWER($G36)="x",'Saetze 2026'!$B$11,0)+IF(LOWER($H36)="x",'Saetze 2026'!$B$12,0)))</f>
        <v/>
      </c>
      <c r="F36" s="17"/>
      <c r="G36" s="17"/>
      <c r="H36" s="17"/>
      <c r="I36" s="11" t="str">
        <f aca="false">IF($A36="","",MAX(0,$D36-$E36))</f>
        <v/>
      </c>
    </row>
    <row r="37" customFormat="false" ht="15" hidden="false" customHeight="false" outlineLevel="0" collapsed="false">
      <c r="A37" s="8"/>
      <c r="B37" s="4"/>
      <c r="C37" s="4"/>
      <c r="D37" s="11" t="str">
        <f aca="false">IF($A37="","",IFERROR(INDEX('Saetze 2026'!$C$5:$F$7,MATCH($B37,'Saetze 2026'!$B$5:$B$7,0),MATCH($C37,'Saetze 2026'!$C$4:$F$4,0)),0))</f>
        <v/>
      </c>
      <c r="E37" s="11" t="str">
        <f aca="false">IF($A37="","",IFERROR(INDEX('Saetze 2026'!$C$5:$C$7,MATCH($B37,'Saetze 2026'!$B$5:$B$7,0)),0)*(IF(LOWER($F37)="x",'Saetze 2026'!$B$10,0)+IF(LOWER($G37)="x",'Saetze 2026'!$B$11,0)+IF(LOWER($H37)="x",'Saetze 2026'!$B$12,0)))</f>
        <v/>
      </c>
      <c r="F37" s="17"/>
      <c r="G37" s="17"/>
      <c r="H37" s="17"/>
      <c r="I37" s="11" t="str">
        <f aca="false">IF($A37="","",MAX(0,$D37-$E37))</f>
        <v/>
      </c>
    </row>
    <row r="38" customFormat="false" ht="15" hidden="false" customHeight="false" outlineLevel="0" collapsed="false">
      <c r="A38" s="8"/>
      <c r="B38" s="4"/>
      <c r="C38" s="4"/>
      <c r="D38" s="11" t="str">
        <f aca="false">IF($A38="","",IFERROR(INDEX('Saetze 2026'!$C$5:$F$7,MATCH($B38,'Saetze 2026'!$B$5:$B$7,0),MATCH($C38,'Saetze 2026'!$C$4:$F$4,0)),0))</f>
        <v/>
      </c>
      <c r="E38" s="11" t="str">
        <f aca="false">IF($A38="","",IFERROR(INDEX('Saetze 2026'!$C$5:$C$7,MATCH($B38,'Saetze 2026'!$B$5:$B$7,0)),0)*(IF(LOWER($F38)="x",'Saetze 2026'!$B$10,0)+IF(LOWER($G38)="x",'Saetze 2026'!$B$11,0)+IF(LOWER($H38)="x",'Saetze 2026'!$B$12,0)))</f>
        <v/>
      </c>
      <c r="F38" s="17"/>
      <c r="G38" s="17"/>
      <c r="H38" s="17"/>
      <c r="I38" s="11" t="str">
        <f aca="false">IF($A38="","",MAX(0,$D38-$E38))</f>
        <v/>
      </c>
    </row>
    <row r="39" customFormat="false" ht="15" hidden="false" customHeight="false" outlineLevel="0" collapsed="false">
      <c r="A39" s="8"/>
      <c r="B39" s="4"/>
      <c r="C39" s="4"/>
      <c r="D39" s="11" t="str">
        <f aca="false">IF($A39="","",IFERROR(INDEX('Saetze 2026'!$C$5:$F$7,MATCH($B39,'Saetze 2026'!$B$5:$B$7,0),MATCH($C39,'Saetze 2026'!$C$4:$F$4,0)),0))</f>
        <v/>
      </c>
      <c r="E39" s="11" t="str">
        <f aca="false">IF($A39="","",IFERROR(INDEX('Saetze 2026'!$C$5:$C$7,MATCH($B39,'Saetze 2026'!$B$5:$B$7,0)),0)*(IF(LOWER($F39)="x",'Saetze 2026'!$B$10,0)+IF(LOWER($G39)="x",'Saetze 2026'!$B$11,0)+IF(LOWER($H39)="x",'Saetze 2026'!$B$12,0)))</f>
        <v/>
      </c>
      <c r="F39" s="17"/>
      <c r="G39" s="17"/>
      <c r="H39" s="17"/>
      <c r="I39" s="11" t="str">
        <f aca="false">IF($A39="","",MAX(0,$D39-$E39))</f>
        <v/>
      </c>
    </row>
    <row r="40" customFormat="false" ht="15" hidden="false" customHeight="false" outlineLevel="0" collapsed="false">
      <c r="A40" s="8"/>
      <c r="B40" s="4"/>
      <c r="C40" s="4"/>
      <c r="D40" s="11" t="str">
        <f aca="false">IF($A40="","",IFERROR(INDEX('Saetze 2026'!$C$5:$F$7,MATCH($B40,'Saetze 2026'!$B$5:$B$7,0),MATCH($C40,'Saetze 2026'!$C$4:$F$4,0)),0))</f>
        <v/>
      </c>
      <c r="E40" s="11" t="str">
        <f aca="false">IF($A40="","",IFERROR(INDEX('Saetze 2026'!$C$5:$C$7,MATCH($B40,'Saetze 2026'!$B$5:$B$7,0)),0)*(IF(LOWER($F40)="x",'Saetze 2026'!$B$10,0)+IF(LOWER($G40)="x",'Saetze 2026'!$B$11,0)+IF(LOWER($H40)="x",'Saetze 2026'!$B$12,0)))</f>
        <v/>
      </c>
      <c r="F40" s="17"/>
      <c r="G40" s="17"/>
      <c r="H40" s="17"/>
      <c r="I40" s="11" t="str">
        <f aca="false">IF($A40="","",MAX(0,$D40-$E40))</f>
        <v/>
      </c>
    </row>
    <row r="41" customFormat="false" ht="15" hidden="false" customHeight="false" outlineLevel="0" collapsed="false">
      <c r="A41" s="12"/>
      <c r="B41" s="13" t="s">
        <v>34</v>
      </c>
      <c r="C41" s="12"/>
      <c r="D41" s="12"/>
      <c r="E41" s="12"/>
      <c r="F41" s="12"/>
      <c r="G41" s="12"/>
      <c r="H41" s="12"/>
      <c r="I41" s="14" t="n">
        <f aca="false">SUM(I35:I40)</f>
        <v>0</v>
      </c>
    </row>
    <row r="43" customFormat="false" ht="19.5" hidden="false" customHeight="true" outlineLevel="0" collapsed="false">
      <c r="A43" s="6" t="s">
        <v>35</v>
      </c>
      <c r="B43" s="6"/>
      <c r="C43" s="6"/>
      <c r="D43" s="6"/>
      <c r="E43" s="6"/>
      <c r="F43" s="6"/>
      <c r="G43" s="6"/>
      <c r="H43" s="6"/>
      <c r="I43" s="6"/>
    </row>
    <row r="44" customFormat="false" ht="24" hidden="false" customHeight="true" outlineLevel="0" collapsed="false">
      <c r="A44" s="7" t="s">
        <v>15</v>
      </c>
      <c r="B44" s="7" t="s">
        <v>36</v>
      </c>
      <c r="C44" s="7" t="s">
        <v>37</v>
      </c>
      <c r="I44" s="7" t="s">
        <v>20</v>
      </c>
    </row>
    <row r="45" customFormat="false" ht="15" hidden="false" customHeight="false" outlineLevel="0" collapsed="false">
      <c r="A45" s="8"/>
      <c r="B45" s="4"/>
      <c r="C45" s="4"/>
      <c r="D45" s="15"/>
      <c r="E45" s="15"/>
      <c r="F45" s="15"/>
      <c r="G45" s="15"/>
      <c r="H45" s="15"/>
      <c r="I45" s="16"/>
    </row>
    <row r="46" customFormat="false" ht="15" hidden="false" customHeight="false" outlineLevel="0" collapsed="false">
      <c r="A46" s="8"/>
      <c r="B46" s="4"/>
      <c r="C46" s="4"/>
      <c r="D46" s="15"/>
      <c r="E46" s="15"/>
      <c r="F46" s="15"/>
      <c r="G46" s="15"/>
      <c r="H46" s="15"/>
      <c r="I46" s="16"/>
    </row>
    <row r="47" customFormat="false" ht="15" hidden="false" customHeight="false" outlineLevel="0" collapsed="false">
      <c r="A47" s="8"/>
      <c r="B47" s="4"/>
      <c r="C47" s="4"/>
      <c r="D47" s="15"/>
      <c r="E47" s="15"/>
      <c r="F47" s="15"/>
      <c r="G47" s="15"/>
      <c r="H47" s="15"/>
      <c r="I47" s="16"/>
    </row>
    <row r="48" customFormat="false" ht="15" hidden="false" customHeight="false" outlineLevel="0" collapsed="false">
      <c r="A48" s="12"/>
      <c r="B48" s="13" t="s">
        <v>38</v>
      </c>
      <c r="C48" s="12"/>
      <c r="D48" s="12"/>
      <c r="E48" s="12"/>
      <c r="F48" s="12"/>
      <c r="G48" s="12"/>
      <c r="H48" s="12"/>
      <c r="I48" s="14" t="n">
        <f aca="false">SUM(I45:I47)</f>
        <v>0</v>
      </c>
    </row>
    <row r="50" customFormat="false" ht="19.5" hidden="false" customHeight="true" outlineLevel="0" collapsed="false">
      <c r="A50" s="6" t="s">
        <v>39</v>
      </c>
      <c r="B50" s="6"/>
      <c r="C50" s="6"/>
      <c r="D50" s="6"/>
      <c r="E50" s="6"/>
      <c r="F50" s="6"/>
      <c r="G50" s="6"/>
      <c r="H50" s="6"/>
      <c r="I50" s="6"/>
    </row>
    <row r="51" customFormat="false" ht="24" hidden="false" customHeight="true" outlineLevel="0" collapsed="false">
      <c r="A51" s="7" t="s">
        <v>15</v>
      </c>
      <c r="B51" s="7" t="s">
        <v>23</v>
      </c>
      <c r="C51" s="7" t="s">
        <v>24</v>
      </c>
      <c r="I51" s="7" t="s">
        <v>20</v>
      </c>
    </row>
    <row r="52" customFormat="false" ht="15" hidden="false" customHeight="false" outlineLevel="0" collapsed="false">
      <c r="A52" s="8"/>
      <c r="B52" s="4"/>
      <c r="C52" s="4"/>
      <c r="D52" s="15"/>
      <c r="E52" s="15"/>
      <c r="F52" s="15"/>
      <c r="G52" s="15"/>
      <c r="H52" s="15"/>
      <c r="I52" s="16"/>
    </row>
    <row r="53" customFormat="false" ht="15" hidden="false" customHeight="false" outlineLevel="0" collapsed="false">
      <c r="A53" s="8"/>
      <c r="B53" s="4"/>
      <c r="C53" s="4"/>
      <c r="D53" s="15"/>
      <c r="E53" s="15"/>
      <c r="F53" s="15"/>
      <c r="G53" s="15"/>
      <c r="H53" s="15"/>
      <c r="I53" s="16"/>
    </row>
    <row r="54" customFormat="false" ht="15" hidden="false" customHeight="false" outlineLevel="0" collapsed="false">
      <c r="A54" s="8"/>
      <c r="B54" s="4"/>
      <c r="C54" s="4"/>
      <c r="D54" s="15"/>
      <c r="E54" s="15"/>
      <c r="F54" s="15"/>
      <c r="G54" s="15"/>
      <c r="H54" s="15"/>
      <c r="I54" s="16"/>
    </row>
    <row r="55" customFormat="false" ht="15" hidden="false" customHeight="false" outlineLevel="0" collapsed="false">
      <c r="A55" s="8"/>
      <c r="B55" s="4"/>
      <c r="C55" s="4"/>
      <c r="D55" s="15"/>
      <c r="E55" s="15"/>
      <c r="F55" s="15"/>
      <c r="G55" s="15"/>
      <c r="H55" s="15"/>
      <c r="I55" s="16"/>
    </row>
    <row r="56" customFormat="false" ht="15" hidden="false" customHeight="false" outlineLevel="0" collapsed="false">
      <c r="A56" s="12"/>
      <c r="B56" s="13" t="s">
        <v>40</v>
      </c>
      <c r="C56" s="12"/>
      <c r="D56" s="12"/>
      <c r="E56" s="12"/>
      <c r="F56" s="12"/>
      <c r="G56" s="12"/>
      <c r="H56" s="12"/>
      <c r="I56" s="14" t="n">
        <f aca="false">SUM(I52:I55)</f>
        <v>0</v>
      </c>
    </row>
    <row r="58" customFormat="false" ht="19.5" hidden="false" customHeight="true" outlineLevel="0" collapsed="false">
      <c r="A58" s="6" t="s">
        <v>41</v>
      </c>
      <c r="B58" s="6"/>
      <c r="C58" s="6"/>
      <c r="D58" s="6"/>
      <c r="E58" s="6"/>
      <c r="F58" s="6"/>
      <c r="G58" s="6"/>
      <c r="H58" s="6"/>
      <c r="I58" s="6"/>
    </row>
    <row r="59" customFormat="false" ht="15" hidden="false" customHeight="false" outlineLevel="0" collapsed="false">
      <c r="B59" s="3" t="s">
        <v>42</v>
      </c>
      <c r="I59" s="18" t="n">
        <f aca="false">I19+I31+I41+I48+I56</f>
        <v>0</v>
      </c>
    </row>
    <row r="60" customFormat="false" ht="15" hidden="false" customHeight="false" outlineLevel="0" collapsed="false">
      <c r="B60" s="19" t="s">
        <v>43</v>
      </c>
      <c r="I60" s="16"/>
    </row>
    <row r="61" customFormat="false" ht="15" hidden="false" customHeight="false" outlineLevel="0" collapsed="false">
      <c r="B61" s="19" t="s">
        <v>44</v>
      </c>
      <c r="I61" s="16"/>
    </row>
    <row r="62" customFormat="false" ht="21.75" hidden="false" customHeight="true" outlineLevel="0" collapsed="false">
      <c r="A62" s="20"/>
      <c r="B62" s="21" t="s">
        <v>45</v>
      </c>
      <c r="C62" s="20"/>
      <c r="D62" s="20"/>
      <c r="E62" s="20"/>
      <c r="F62" s="20"/>
      <c r="G62" s="20"/>
      <c r="H62" s="20"/>
      <c r="I62" s="22" t="n">
        <f aca="false">I59-N(I60)-N(I61)</f>
        <v>0</v>
      </c>
    </row>
    <row r="65" customFormat="false" ht="15" hidden="false" customHeight="false" outlineLevel="0" collapsed="false">
      <c r="A65" s="19" t="s">
        <v>46</v>
      </c>
      <c r="E65" s="19" t="s">
        <v>46</v>
      </c>
    </row>
    <row r="66" customFormat="false" ht="15" hidden="false" customHeight="false" outlineLevel="0" collapsed="false">
      <c r="A66" s="5" t="s">
        <v>47</v>
      </c>
      <c r="E66" s="5" t="s">
        <v>48</v>
      </c>
    </row>
    <row r="69" customFormat="false" ht="19.5" hidden="false" customHeight="true" outlineLevel="0" collapsed="false">
      <c r="A69" s="6" t="s">
        <v>49</v>
      </c>
      <c r="B69" s="6"/>
      <c r="C69" s="6"/>
      <c r="D69" s="6"/>
      <c r="E69" s="6"/>
      <c r="F69" s="6"/>
      <c r="G69" s="6"/>
      <c r="H69" s="6"/>
      <c r="I69" s="6"/>
    </row>
    <row r="70" customFormat="false" ht="30" hidden="false" customHeight="true" outlineLevel="0" collapsed="false">
      <c r="A70" s="23" t="s">
        <v>50</v>
      </c>
      <c r="B70" s="24" t="s">
        <v>51</v>
      </c>
      <c r="C70" s="24"/>
      <c r="D70" s="24"/>
      <c r="E70" s="24"/>
      <c r="F70" s="24"/>
      <c r="G70" s="24"/>
      <c r="H70" s="24"/>
      <c r="I70" s="24"/>
    </row>
    <row r="71" customFormat="false" ht="30" hidden="false" customHeight="true" outlineLevel="0" collapsed="false">
      <c r="A71" s="23"/>
      <c r="B71" s="24" t="s">
        <v>52</v>
      </c>
      <c r="C71" s="24"/>
      <c r="D71" s="24"/>
      <c r="E71" s="24"/>
      <c r="F71" s="24"/>
      <c r="G71" s="24"/>
      <c r="H71" s="24"/>
      <c r="I71" s="24"/>
    </row>
    <row r="72" customFormat="false" ht="30" hidden="false" customHeight="true" outlineLevel="0" collapsed="false">
      <c r="A72" s="23"/>
      <c r="B72" s="24" t="s">
        <v>53</v>
      </c>
      <c r="C72" s="24"/>
      <c r="D72" s="24"/>
      <c r="E72" s="24"/>
      <c r="F72" s="24"/>
      <c r="G72" s="24"/>
      <c r="H72" s="24"/>
      <c r="I72" s="24"/>
    </row>
    <row r="73" customFormat="false" ht="30" hidden="false" customHeight="true" outlineLevel="0" collapsed="false">
      <c r="A73" s="23" t="s">
        <v>54</v>
      </c>
      <c r="B73" s="24" t="s">
        <v>55</v>
      </c>
      <c r="C73" s="24"/>
      <c r="D73" s="24"/>
      <c r="E73" s="24"/>
      <c r="F73" s="24"/>
      <c r="G73" s="24"/>
      <c r="H73" s="24"/>
      <c r="I73" s="24"/>
    </row>
    <row r="74" customFormat="false" ht="30" hidden="false" customHeight="true" outlineLevel="0" collapsed="false">
      <c r="A74" s="23" t="s">
        <v>56</v>
      </c>
      <c r="B74" s="24" t="s">
        <v>57</v>
      </c>
      <c r="C74" s="24"/>
      <c r="D74" s="24"/>
      <c r="E74" s="24"/>
      <c r="F74" s="24"/>
      <c r="G74" s="24"/>
      <c r="H74" s="24"/>
      <c r="I74" s="24"/>
    </row>
    <row r="75" customFormat="false" ht="30" hidden="false" customHeight="true" outlineLevel="0" collapsed="false">
      <c r="A75" s="23" t="s">
        <v>58</v>
      </c>
      <c r="B75" s="24" t="s">
        <v>59</v>
      </c>
      <c r="C75" s="24"/>
      <c r="D75" s="24"/>
      <c r="E75" s="24"/>
      <c r="F75" s="24"/>
      <c r="G75" s="24"/>
      <c r="H75" s="24"/>
      <c r="I75" s="24"/>
    </row>
    <row r="76" customFormat="false" ht="30" hidden="false" customHeight="true" outlineLevel="0" collapsed="false">
      <c r="A76" s="23" t="s">
        <v>60</v>
      </c>
      <c r="B76" s="24" t="s">
        <v>61</v>
      </c>
      <c r="C76" s="24"/>
      <c r="D76" s="24"/>
      <c r="E76" s="24"/>
      <c r="F76" s="24"/>
      <c r="G76" s="24"/>
      <c r="H76" s="24"/>
      <c r="I76" s="24"/>
    </row>
    <row r="77" customFormat="false" ht="30" hidden="false" customHeight="true" outlineLevel="0" collapsed="false">
      <c r="A77" s="23" t="s">
        <v>62</v>
      </c>
      <c r="B77" s="24" t="s">
        <v>63</v>
      </c>
      <c r="C77" s="24"/>
      <c r="D77" s="24"/>
      <c r="E77" s="24"/>
      <c r="F77" s="24"/>
      <c r="G77" s="24"/>
      <c r="H77" s="24"/>
      <c r="I77" s="24"/>
    </row>
  </sheetData>
  <mergeCells count="44">
    <mergeCell ref="A1:I1"/>
    <mergeCell ref="A2:I2"/>
    <mergeCell ref="B4:E4"/>
    <mergeCell ref="B5:E5"/>
    <mergeCell ref="B6:E6"/>
    <mergeCell ref="B7:E7"/>
    <mergeCell ref="B8:E8"/>
    <mergeCell ref="B9:E9"/>
    <mergeCell ref="B10:E10"/>
    <mergeCell ref="B11:E11"/>
    <mergeCell ref="A13:I13"/>
    <mergeCell ref="E15:H15"/>
    <mergeCell ref="E16:H16"/>
    <mergeCell ref="E17:H17"/>
    <mergeCell ref="E18:H18"/>
    <mergeCell ref="A21:I21"/>
    <mergeCell ref="D23:H23"/>
    <mergeCell ref="D24:H24"/>
    <mergeCell ref="D25:H25"/>
    <mergeCell ref="D26:H26"/>
    <mergeCell ref="D27:H27"/>
    <mergeCell ref="D28:H28"/>
    <mergeCell ref="D29:H29"/>
    <mergeCell ref="D30:H30"/>
    <mergeCell ref="A33:I33"/>
    <mergeCell ref="A43:I43"/>
    <mergeCell ref="D45:H45"/>
    <mergeCell ref="D46:H46"/>
    <mergeCell ref="D47:H47"/>
    <mergeCell ref="A50:I50"/>
    <mergeCell ref="D52:H52"/>
    <mergeCell ref="D53:H53"/>
    <mergeCell ref="D54:H54"/>
    <mergeCell ref="D55:H55"/>
    <mergeCell ref="A58:I58"/>
    <mergeCell ref="A69:I69"/>
    <mergeCell ref="B70:I70"/>
    <mergeCell ref="B71:I71"/>
    <mergeCell ref="B72:I72"/>
    <mergeCell ref="B73:I73"/>
    <mergeCell ref="B74:I74"/>
    <mergeCell ref="B75:I75"/>
    <mergeCell ref="B76:I76"/>
    <mergeCell ref="B77:I77"/>
  </mergeCells>
  <dataValidations count="4">
    <dataValidation allowBlank="true" errorStyle="stop" operator="between" showDropDown="false" showErrorMessage="false" showInputMessage="false" sqref="C15:C18" type="list">
      <formula1>'Saetze 2026'!$A$15:$A$17</formula1>
      <formula2>0</formula2>
    </dataValidation>
    <dataValidation allowBlank="true" errorStyle="stop" operator="between" showDropDown="false" showErrorMessage="false" showInputMessage="false" sqref="B35:B40" type="list">
      <formula1>'Saetze 2026'!$B$5:$B$7</formula1>
      <formula2>0</formula2>
    </dataValidation>
    <dataValidation allowBlank="true" errorStyle="stop" operator="between" showDropDown="false" showErrorMessage="false" showInputMessage="false" sqref="C35:C40" type="list">
      <formula1>'Saetze 2026'!$C$4:$F$4</formula1>
      <formula2>0</formula2>
    </dataValidation>
    <dataValidation allowBlank="true" errorStyle="stop" operator="between" showDropDown="false" showErrorMessage="false" showInputMessage="false" sqref="F35:H40" type="list">
      <formula1>"x"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7"/>
    <col collapsed="false" customWidth="true" hidden="false" outlineLevel="0" max="4" min="3" style="0" width="15"/>
    <col collapsed="false" customWidth="true" hidden="false" outlineLevel="0" max="6" min="5" style="0" width="12"/>
    <col collapsed="false" customWidth="true" hidden="false" outlineLevel="0" max="7" min="7" style="0" width="15"/>
  </cols>
  <sheetData>
    <row r="1" customFormat="false" ht="19.7" hidden="false" customHeight="false" outlineLevel="0" collapsed="false">
      <c r="A1" s="25" t="s">
        <v>64</v>
      </c>
    </row>
    <row r="2" customFormat="false" ht="15" hidden="false" customHeight="false" outlineLevel="0" collapsed="false">
      <c r="A2" s="5" t="s">
        <v>65</v>
      </c>
    </row>
    <row r="4" customFormat="false" ht="27.75" hidden="false" customHeight="true" outlineLevel="0" collapsed="false">
      <c r="A4" s="7" t="s">
        <v>27</v>
      </c>
      <c r="B4" s="7" t="s">
        <v>66</v>
      </c>
      <c r="C4" s="7" t="s">
        <v>67</v>
      </c>
      <c r="D4" s="7" t="s">
        <v>68</v>
      </c>
      <c r="E4" s="7" t="s">
        <v>69</v>
      </c>
      <c r="F4" s="7" t="s">
        <v>70</v>
      </c>
      <c r="G4" s="7" t="s">
        <v>71</v>
      </c>
    </row>
    <row r="5" customFormat="false" ht="15" hidden="false" customHeight="false" outlineLevel="0" collapsed="false">
      <c r="A5" s="19" t="s">
        <v>72</v>
      </c>
      <c r="B5" s="19" t="s">
        <v>73</v>
      </c>
      <c r="C5" s="26" t="n">
        <v>28</v>
      </c>
      <c r="D5" s="26" t="n">
        <v>14</v>
      </c>
      <c r="E5" s="26" t="n">
        <v>14</v>
      </c>
      <c r="F5" s="26" t="n">
        <v>0</v>
      </c>
      <c r="G5" s="26" t="s">
        <v>74</v>
      </c>
    </row>
    <row r="6" customFormat="false" ht="15" hidden="false" customHeight="false" outlineLevel="0" collapsed="false">
      <c r="A6" s="19" t="s">
        <v>75</v>
      </c>
      <c r="B6" s="19" t="s">
        <v>75</v>
      </c>
      <c r="C6" s="26" t="n">
        <v>66</v>
      </c>
      <c r="D6" s="26" t="n">
        <v>44</v>
      </c>
      <c r="E6" s="26" t="n">
        <v>44</v>
      </c>
      <c r="F6" s="26" t="n">
        <v>0</v>
      </c>
      <c r="G6" s="26" t="n">
        <v>163</v>
      </c>
    </row>
    <row r="7" customFormat="false" ht="15" hidden="false" customHeight="false" outlineLevel="0" collapsed="false">
      <c r="A7" s="19" t="s">
        <v>76</v>
      </c>
      <c r="B7" s="19" t="s">
        <v>77</v>
      </c>
      <c r="C7" s="26" t="n">
        <v>52</v>
      </c>
      <c r="D7" s="26" t="n">
        <v>35</v>
      </c>
      <c r="E7" s="26" t="n">
        <v>35</v>
      </c>
      <c r="F7" s="26" t="n">
        <v>0</v>
      </c>
      <c r="G7" s="26" t="n">
        <v>99</v>
      </c>
    </row>
    <row r="9" customFormat="false" ht="15" hidden="false" customHeight="false" outlineLevel="0" collapsed="false">
      <c r="A9" s="3" t="s">
        <v>78</v>
      </c>
    </row>
    <row r="10" customFormat="false" ht="15" hidden="false" customHeight="false" outlineLevel="0" collapsed="false">
      <c r="A10" s="19" t="s">
        <v>79</v>
      </c>
      <c r="B10" s="27" t="n">
        <v>0.2</v>
      </c>
    </row>
    <row r="11" customFormat="false" ht="15" hidden="false" customHeight="false" outlineLevel="0" collapsed="false">
      <c r="A11" s="19" t="s">
        <v>80</v>
      </c>
      <c r="B11" s="27" t="n">
        <v>0.4</v>
      </c>
    </row>
    <row r="12" customFormat="false" ht="15" hidden="false" customHeight="false" outlineLevel="0" collapsed="false">
      <c r="A12" s="19" t="s">
        <v>81</v>
      </c>
      <c r="B12" s="27" t="n">
        <v>0.4</v>
      </c>
    </row>
    <row r="14" customFormat="false" ht="15" hidden="false" customHeight="false" outlineLevel="0" collapsed="false">
      <c r="A14" s="3" t="s">
        <v>82</v>
      </c>
    </row>
    <row r="15" customFormat="false" ht="15" hidden="false" customHeight="false" outlineLevel="0" collapsed="false">
      <c r="A15" s="19" t="s">
        <v>83</v>
      </c>
      <c r="C15" s="28" t="n">
        <v>0.3</v>
      </c>
    </row>
    <row r="16" customFormat="false" ht="15" hidden="false" customHeight="false" outlineLevel="0" collapsed="false">
      <c r="A16" s="19" t="s">
        <v>84</v>
      </c>
      <c r="C16" s="28" t="n">
        <v>0.2</v>
      </c>
    </row>
    <row r="17" customFormat="false" ht="15" hidden="false" customHeight="false" outlineLevel="0" collapsed="false">
      <c r="A17" s="19" t="s">
        <v>85</v>
      </c>
      <c r="C17" s="28" t="n">
        <v>0.05</v>
      </c>
    </row>
    <row r="20" customFormat="false" ht="15" hidden="false" customHeight="false" outlineLevel="0" collapsed="false">
      <c r="A20" s="3" t="s">
        <v>86</v>
      </c>
    </row>
    <row r="21" customFormat="false" ht="15" hidden="false" customHeight="false" outlineLevel="0" collapsed="false">
      <c r="A21" s="5" t="s">
        <v>87</v>
      </c>
    </row>
    <row r="22" customFormat="false" ht="15" hidden="false" customHeight="false" outlineLevel="0" collapsed="false">
      <c r="A22" s="5" t="s">
        <v>88</v>
      </c>
    </row>
    <row r="23" customFormat="false" ht="15" hidden="false" customHeight="false" outlineLevel="0" collapsed="false">
      <c r="A23" s="5" t="s">
        <v>89</v>
      </c>
    </row>
    <row r="24" customFormat="false" ht="15" hidden="false" customHeight="false" outlineLevel="0" collapsed="false">
      <c r="A24" s="5" t="s">
        <v>90</v>
      </c>
    </row>
    <row r="25" customFormat="false" ht="15" hidden="false" customHeight="false" outlineLevel="0" collapsed="false">
      <c r="A25" s="5" t="s">
        <v>91</v>
      </c>
    </row>
    <row r="26" customFormat="false" ht="15" hidden="false" customHeight="false" outlineLevel="0" collapsed="false">
      <c r="A26" s="5" t="s">
        <v>92</v>
      </c>
    </row>
    <row r="27" customFormat="false" ht="15" hidden="false" customHeight="false" outlineLevel="0" collapsed="false">
      <c r="A27" s="5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2026-10-21T15:13:17Z</dcterms:created>
  <dc:creator>openpyxl</dc:creator>
  <dc:description/>
  <dc:language>en-US</dc:language>
  <cp:lastModifiedBy/>
  <dcterms:modified xsi:type="dcterms:W3CDTF">2026-10-21T15:13:17Z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